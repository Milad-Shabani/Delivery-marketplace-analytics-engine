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KPI_Scorecard" sheetId="2" state="visible" r:id="rId2"/>
    <sheet xmlns:r="http://schemas.openxmlformats.org/officeDocument/2006/relationships" name="KPI_Monthly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Unit_Economics" sheetId="5" state="visible" r:id="rId5"/>
    <sheet xmlns:r="http://schemas.openxmlformats.org/officeDocument/2006/relationships" name="Customers" sheetId="6" state="visible" r:id="rId6"/>
    <sheet xmlns:r="http://schemas.openxmlformats.org/officeDocument/2006/relationships" name="Cohorts" sheetId="7" state="visible" r:id="rId7"/>
    <sheet xmlns:r="http://schemas.openxmlformats.org/officeDocument/2006/relationships" name="Restaurants" sheetId="8" state="visible" r:id="rId8"/>
    <sheet xmlns:r="http://schemas.openxmlformats.org/officeDocument/2006/relationships" name="Operations" sheetId="9" state="visible" r:id="rId9"/>
    <sheet xmlns:r="http://schemas.openxmlformats.org/officeDocument/2006/relationships" name="Forecast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Optimization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KPI_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1F2A44"/>
      <sz val="10"/>
    </font>
    <font>
      <name val="Arial"/>
      <b val="1"/>
      <color rgb="000F7C82"/>
      <sz val="12"/>
    </font>
    <font>
      <name val="Arial"/>
      <i val="1"/>
      <sz val="11"/>
    </font>
    <font>
      <name val="Arial"/>
      <b val="1"/>
      <color rgb="00FFFFFF"/>
      <sz val="10"/>
    </font>
    <font>
      <name val="Arial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4" fontId="7" fillId="0" borderId="1" pivotButton="0" quotePrefix="0" xfId="0"/>
    <xf numFmtId="164" fontId="7" fillId="0" borderId="1" pivotButton="0" quotePrefix="0" xfId="0"/>
    <xf numFmtId="0" fontId="7" fillId="3" borderId="1" pivotButton="0" quotePrefix="0" xfId="0"/>
    <xf numFmtId="4" fontId="7" fillId="3" borderId="1" pivotButton="0" quotePrefix="0" xfId="0"/>
    <xf numFmtId="164" fontId="7" fillId="3" borderId="1" pivotButton="0" quotePrefix="0" xfId="0"/>
    <xf numFmtId="165" fontId="7" fillId="0" borderId="1" pivotButton="0" quotePrefix="0" xfId="0"/>
    <xf numFmtId="166" fontId="7" fillId="0" borderId="1" pivotButton="0" quotePrefix="0" xfId="0"/>
    <xf numFmtId="165" fontId="7" fillId="3" borderId="1" pivotButton="0" quotePrefix="0" xfId="0"/>
    <xf numFmtId="166" fontId="7" fillId="3" borderId="1" pivotButton="0" quotePrefix="0" xfId="0"/>
    <xf numFmtId="3" fontId="7" fillId="0" borderId="1" pivotButton="0" quotePrefix="0" xfId="0"/>
    <xf numFmtId="3" fontId="7" fillId="3" borderId="1" pivotButton="0" quotePrefix="0" xfId="0"/>
    <xf numFmtId="2" fontId="7" fillId="0" borderId="1" pivotButton="0" quotePrefix="0" xfId="0"/>
    <xf numFmtId="2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GMV vs Discounts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'Financials'!$A$5:$A$21</f>
            </numRef>
          </cat>
          <val>
            <numRef>
              <f>'Financials'!$B$5:$B$21</f>
            </numRef>
          </val>
          <smooth val="0"/>
        </ser>
        <ser>
          <idx val="1"/>
          <order val="1"/>
          <tx>
            <strRef>
              <f>'Financials'!C4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'Financials'!$A$5:$A$21</f>
            </numRef>
          </cat>
          <val>
            <numRef>
              <f>'Financials'!$C$5:$C$21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Profit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'Financials'!$A$5:$A$21</f>
            </numRef>
          </cat>
          <val>
            <numRef>
              <f>'Financials'!$I$5:$I$21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'Customers'!$A$5:$A$13</f>
            </numRef>
          </cat>
          <val>
            <numRef>
              <f>'Customers'!$B$5:$B$13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Restaurants by Quadrant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'Restaurants'!B4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'Restaurants'!$A$5:$A$8</f>
            </numRef>
          </cat>
          <val>
            <numRef>
              <f>'Restaurants'!$B$5:$B$8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Delivery Rate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'Operations'!C4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'Operations'!$A$5:$A$21</f>
            </numRef>
          </cat>
          <val>
            <numRef>
              <f>'Operations'!$C$5:$C$21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Forecast (12 Months, 80% Interval)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'Forecast'!$A$5:$A$16</f>
            </numRef>
          </cat>
          <val>
            <numRef>
              <f>'Forecast'!$B$5:$B$16</f>
            </numRef>
          </val>
          <smooth val="0"/>
        </ser>
        <ser>
          <idx val="1"/>
          <order val="1"/>
          <tx>
            <strRef>
              <f>'Forecast'!C4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'Forecast'!$A$5:$A$16</f>
            </numRef>
          </cat>
          <val>
            <numRef>
              <f>'Forecast'!$C$5:$C$16</f>
            </numRef>
          </val>
          <smooth val="0"/>
        </ser>
        <ser>
          <idx val="2"/>
          <order val="2"/>
          <tx>
            <strRef>
              <f>'Forecast'!D4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'Forecast'!$A$5:$A$16</f>
            </numRef>
          </cat>
          <val>
            <numRef>
              <f>'Forecast'!$D$5:$D$16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Cases — Orders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'Forecast'!$A$41:$A$52</f>
            </numRef>
          </cat>
          <val>
            <numRef>
              <f>'Forecast'!$B$41:$B$52</f>
            </numRef>
          </val>
          <smooth val="0"/>
        </ser>
        <ser>
          <idx val="1"/>
          <order val="1"/>
          <tx>
            <strRef>
              <f>'Forecast'!C40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'Forecast'!$A$41:$A$52</f>
            </numRef>
          </cat>
          <val>
            <numRef>
              <f>'Forecast'!$C$41:$C$52</f>
            </numRef>
          </val>
          <smooth val="0"/>
        </ser>
        <ser>
          <idx val="2"/>
          <order val="2"/>
          <tx>
            <strRef>
              <f>'Forecast'!D40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'Forecast'!$A$41:$A$52</f>
            </numRef>
          </cat>
          <val>
            <numRef>
              <f>'Forecast'!$D$41:$D$52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Monthly Contribution Profit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'Scenarios'!$A$5:$A$7</f>
            </numRef>
          </cat>
          <val>
            <numRef>
              <f>'Scenarios'!$C$5:$C$7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54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4" max="4"/>
  </cols>
  <sheetData>
    <row r="1" ht="28" customHeight="1">
      <c r="A1" s="1" t="inlineStr">
        <is>
          <t>Company 1 — Executive Summary</t>
        </is>
      </c>
    </row>
    <row r="2" ht="16" customHeight="1">
      <c r="A2" s="2" t="inlineStr">
        <is>
          <t>Business Intelligence &amp; Financial Planning Case Study | Synthetic data</t>
        </is>
      </c>
    </row>
    <row r="4">
      <c r="A4" s="3" t="inlineStr">
        <is>
          <t>GMV (trailing month)</t>
        </is>
      </c>
      <c r="D4" s="4" t="inlineStr">
        <is>
          <t>$210,795</t>
        </is>
      </c>
    </row>
    <row r="5">
      <c r="A5" s="3" t="inlineStr">
        <is>
          <t>Delivered Orders (trailing month)</t>
        </is>
      </c>
      <c r="D5" s="4" t="inlineStr">
        <is>
          <t>12,936</t>
        </is>
      </c>
    </row>
    <row r="6">
      <c r="A6" s="3" t="inlineStr">
        <is>
          <t>Contribution Margin % (trailing 3mo avg)</t>
        </is>
      </c>
      <c r="D6" s="4" t="inlineStr">
        <is>
          <t>6.5%</t>
        </is>
      </c>
    </row>
    <row r="7">
      <c r="A7" s="3" t="inlineStr">
        <is>
          <t>Annualized Order Growth Rate</t>
        </is>
      </c>
      <c r="D7" s="4" t="inlineStr">
        <is>
          <t>65.7%</t>
        </is>
      </c>
    </row>
    <row r="8">
      <c r="A8" s="3" t="inlineStr">
        <is>
          <t>Active Customers (trailing month)</t>
        </is>
      </c>
      <c r="D8" s="4" t="inlineStr">
        <is>
          <t>6,152</t>
        </is>
      </c>
    </row>
    <row r="9">
      <c r="A9" s="3" t="inlineStr">
        <is>
          <t>On-Time Delivery Rate (trailing month)</t>
        </is>
      </c>
      <c r="D9" s="4" t="inlineStr">
        <is>
          <t>76.6%</t>
        </is>
      </c>
    </row>
    <row r="10">
      <c r="A10" s="3" t="inlineStr">
        <is>
          <t>Highest-Margin City</t>
        </is>
      </c>
      <c r="D10" s="4" t="inlineStr">
        <is>
          <t>Northfield (23.0%)</t>
        </is>
      </c>
    </row>
    <row r="11">
      <c r="A11" s="3" t="inlineStr">
        <is>
          <t>Weakest-Margin City</t>
        </is>
      </c>
      <c r="D11" s="4" t="inlineStr">
        <is>
          <t>Lakeside City (-3.1%)</t>
        </is>
      </c>
    </row>
    <row r="13">
      <c r="A13" s="3" t="inlineStr">
        <is>
          <t>Central management question</t>
        </is>
      </c>
    </row>
    <row r="14">
      <c r="A14" s="5" t="inlineStr">
        <is>
          <t>Can Company 1 grow orders while improving contribution profit?</t>
        </is>
      </c>
    </row>
    <row r="16">
      <c r="A16" s="3" t="inlineStr">
        <is>
          <t>Strategic plan verdict (25% order growth, +2pp margin target)</t>
        </is>
      </c>
    </row>
    <row r="17" ht="45" customHeight="1">
      <c r="A17" s="6" t="inlineStr">
        <is>
          <t>Achievable, but only with a combined plan -- no single lever gets there alone. The model shows the target requires simultaneous discount discipline, delivery-cost efficiency, and a modest take-rate increase, not organic growth alone.</t>
        </is>
      </c>
    </row>
    <row r="19">
      <c r="A19" s="3" t="inlineStr">
        <is>
          <t>Key findings (calculated from the dataset)</t>
        </is>
      </c>
    </row>
    <row r="20">
      <c r="A20" s="7" t="inlineStr">
        <is>
          <t>- Organic/Referral is the strongest acquisition channel by LTV:CAC (2.43x).</t>
        </is>
      </c>
    </row>
    <row r="21">
      <c r="A21" s="7" t="inlineStr">
        <is>
          <t>- High Value customers generate the highest contribution profit per order ($0.87).</t>
        </is>
      </c>
    </row>
    <row r="22">
      <c r="A22" s="7" t="inlineStr">
        <is>
          <t>- A promotion-budget re-allocation (this month's spend) could lift incremental contribution profit by ~88% versus an even split across segments/cities.</t>
        </is>
      </c>
    </row>
    <row r="23">
      <c r="A23" s="7" t="inlineStr">
        <is>
          <t>- Lakeside City runs a negative-to-thin contribution margin and is the priority market for operational review.</t>
        </is>
      </c>
    </row>
  </sheetData>
  <mergeCells count="7">
    <mergeCell ref="A21:H21"/>
    <mergeCell ref="A20:H20"/>
    <mergeCell ref="A2:H2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14" customWidth="1" min="4" max="4"/>
    <col width="14" customWidth="1" min="5" max="5"/>
    <col width="10" customWidth="1" min="6" max="6"/>
    <col width="8" customWidth="1" min="7" max="7"/>
    <col width="10" customWidth="1" min="8" max="8"/>
    <col width="90" customWidth="1" min="9" max="9"/>
  </cols>
  <sheetData>
    <row r="1" ht="28" customHeight="1">
      <c r="A1" s="1" t="inlineStr">
        <is>
          <t>Executive KPI Scorecard</t>
        </is>
      </c>
    </row>
    <row r="2" ht="16" customHeight="1">
      <c r="A2" s="2" t="inlineStr">
        <is>
          <t>34 KPIs, 2026-08 vs 2026-07. Window 3M = trailing 3 months (sign-up-driven KPIs). Same numbers as the dashboard.</t>
        </is>
      </c>
    </row>
    <row r="4">
      <c r="A4" s="8" t="inlineStr">
        <is>
          <t>Group</t>
        </is>
      </c>
      <c r="B4" s="8" t="inlineStr">
        <is>
          <t>Kpi</t>
        </is>
      </c>
      <c r="C4" s="8" t="inlineStr">
        <is>
          <t>Window</t>
        </is>
      </c>
      <c r="D4" s="8" t="inlineStr">
        <is>
          <t>Latest Month</t>
        </is>
      </c>
      <c r="E4" s="8" t="inlineStr">
        <is>
          <t>Previous Month</t>
        </is>
      </c>
      <c r="F4" s="8" t="inlineStr">
        <is>
          <t>Change</t>
        </is>
      </c>
      <c r="G4" s="8" t="inlineStr">
        <is>
          <t>Change Unit</t>
        </is>
      </c>
      <c r="H4" s="8" t="inlineStr">
        <is>
          <t>Good Direction</t>
        </is>
      </c>
      <c r="I4" s="8" t="inlineStr">
        <is>
          <t>Definition</t>
        </is>
      </c>
    </row>
    <row r="5">
      <c r="A5" s="9" t="inlineStr">
        <is>
          <t>Growth &amp; scale</t>
        </is>
      </c>
      <c r="B5" s="9" t="inlineStr">
        <is>
          <t>GMV</t>
        </is>
      </c>
      <c r="C5" s="9" t="inlineStr">
        <is>
          <t>1M</t>
        </is>
      </c>
      <c r="D5" s="10" t="n">
        <v>210794.65</v>
      </c>
      <c r="E5" s="10" t="n">
        <v>208477.41</v>
      </c>
      <c r="F5" s="11" t="n">
        <v>1.11</v>
      </c>
      <c r="G5" s="9" t="inlineStr">
        <is>
          <t>%</t>
        </is>
      </c>
      <c r="H5" s="9" t="inlineStr">
        <is>
          <t>higher</t>
        </is>
      </c>
      <c r="I5" s="9" t="inlineStr">
        <is>
          <t>Gross merchandise value of delivered orders (food + delivery fee + service fee) in the month.</t>
        </is>
      </c>
    </row>
    <row r="6">
      <c r="A6" s="12" t="inlineStr">
        <is>
          <t>Growth &amp; scale</t>
        </is>
      </c>
      <c r="B6" s="12" t="inlineStr">
        <is>
          <t>GMV growth (YoY)</t>
        </is>
      </c>
      <c r="C6" s="12" t="inlineStr">
        <is>
          <t>1M</t>
        </is>
      </c>
      <c r="D6" s="13" t="n">
        <v>59.93</v>
      </c>
      <c r="E6" s="13" t="n">
        <v>67.55</v>
      </c>
      <c r="F6" s="14" t="n">
        <v>-7.62</v>
      </c>
      <c r="G6" s="12" t="inlineStr">
        <is>
          <t>pp</t>
        </is>
      </c>
      <c r="H6" s="12" t="inlineStr">
        <is>
          <t>higher</t>
        </is>
      </c>
      <c r="I6" s="12" t="inlineStr">
        <is>
          <t>GMV compared with the same month one year earlier.</t>
        </is>
      </c>
    </row>
    <row r="7">
      <c r="A7" s="9" t="inlineStr">
        <is>
          <t>Growth &amp; scale</t>
        </is>
      </c>
      <c r="B7" s="9" t="inlineStr">
        <is>
          <t>Delivered orders</t>
        </is>
      </c>
      <c r="C7" s="9" t="inlineStr">
        <is>
          <t>1M</t>
        </is>
      </c>
      <c r="D7" s="10" t="n">
        <v>12936</v>
      </c>
      <c r="E7" s="10" t="n">
        <v>12759</v>
      </c>
      <c r="F7" s="11" t="n">
        <v>1.39</v>
      </c>
      <c r="G7" s="9" t="inlineStr">
        <is>
          <t>%</t>
        </is>
      </c>
      <c r="H7" s="9" t="inlineStr">
        <is>
          <t>higher</t>
        </is>
      </c>
      <c r="I7" s="9" t="inlineStr">
        <is>
          <t>Orders with status Delivered or Refunded.</t>
        </is>
      </c>
    </row>
    <row r="8">
      <c r="A8" s="12" t="inlineStr">
        <is>
          <t>Growth &amp; scale</t>
        </is>
      </c>
      <c r="B8" s="12" t="inlineStr">
        <is>
          <t>Active customers</t>
        </is>
      </c>
      <c r="C8" s="12" t="inlineStr">
        <is>
          <t>1M</t>
        </is>
      </c>
      <c r="D8" s="13" t="n">
        <v>6152</v>
      </c>
      <c r="E8" s="13" t="n">
        <v>6019</v>
      </c>
      <c r="F8" s="14" t="n">
        <v>2.21</v>
      </c>
      <c r="G8" s="12" t="inlineStr">
        <is>
          <t>%</t>
        </is>
      </c>
      <c r="H8" s="12" t="inlineStr">
        <is>
          <t>higher</t>
        </is>
      </c>
      <c r="I8" s="12" t="inlineStr">
        <is>
          <t>Distinct customers with at least one delivered order in the month.</t>
        </is>
      </c>
    </row>
    <row r="9">
      <c r="A9" s="9" t="inlineStr">
        <is>
          <t>Growth &amp; scale</t>
        </is>
      </c>
      <c r="B9" s="9" t="inlineStr">
        <is>
          <t>Orders per active customer</t>
        </is>
      </c>
      <c r="C9" s="9" t="inlineStr">
        <is>
          <t>1M</t>
        </is>
      </c>
      <c r="D9" s="10" t="n">
        <v>2.103</v>
      </c>
      <c r="E9" s="10" t="n">
        <v>2.12</v>
      </c>
      <c r="F9" s="11" t="n">
        <v>-0.8</v>
      </c>
      <c r="G9" s="9" t="inlineStr">
        <is>
          <t>%</t>
        </is>
      </c>
      <c r="H9" s="9" t="inlineStr">
        <is>
          <t>higher</t>
        </is>
      </c>
      <c r="I9" s="9" t="inlineStr">
        <is>
          <t>Delivered orders divided by active customers — order frequency.</t>
        </is>
      </c>
    </row>
    <row r="10">
      <c r="A10" s="12" t="inlineStr">
        <is>
          <t>Profitability</t>
        </is>
      </c>
      <c r="B10" s="12" t="inlineStr">
        <is>
          <t>Platform revenue</t>
        </is>
      </c>
      <c r="C10" s="12" t="inlineStr">
        <is>
          <t>1M</t>
        </is>
      </c>
      <c r="D10" s="13" t="n">
        <v>54579.2</v>
      </c>
      <c r="E10" s="13" t="n">
        <v>54096.83</v>
      </c>
      <c r="F10" s="14" t="n">
        <v>0.89</v>
      </c>
      <c r="G10" s="12" t="inlineStr">
        <is>
          <t>%</t>
        </is>
      </c>
      <c r="H10" s="12" t="inlineStr">
        <is>
          <t>higher</t>
        </is>
      </c>
      <c r="I10" s="12" t="inlineStr">
        <is>
          <t>Commission + service fee + 35% of delivery fee, less the refund offset.</t>
        </is>
      </c>
    </row>
    <row r="11">
      <c r="A11" s="9" t="inlineStr">
        <is>
          <t>Profitability</t>
        </is>
      </c>
      <c r="B11" s="9" t="inlineStr">
        <is>
          <t>Take rate</t>
        </is>
      </c>
      <c r="C11" s="9" t="inlineStr">
        <is>
          <t>1M</t>
        </is>
      </c>
      <c r="D11" s="10" t="n">
        <v>25.892</v>
      </c>
      <c r="E11" s="10" t="n">
        <v>25.949</v>
      </c>
      <c r="F11" s="11" t="n">
        <v>-0.06</v>
      </c>
      <c r="G11" s="9" t="inlineStr">
        <is>
          <t>pp</t>
        </is>
      </c>
      <c r="H11" s="9" t="inlineStr">
        <is>
          <t>-</t>
        </is>
      </c>
      <c r="I11" s="9" t="inlineStr">
        <is>
          <t>Platform revenue as a share of GMV.</t>
        </is>
      </c>
    </row>
    <row r="12">
      <c r="A12" s="12" t="inlineStr">
        <is>
          <t>Profitability</t>
        </is>
      </c>
      <c r="B12" s="12" t="inlineStr">
        <is>
          <t>Contribution profit</t>
        </is>
      </c>
      <c r="C12" s="12" t="inlineStr">
        <is>
          <t>1M</t>
        </is>
      </c>
      <c r="D12" s="13" t="n">
        <v>3510.37</v>
      </c>
      <c r="E12" s="13" t="n">
        <v>3462.31</v>
      </c>
      <c r="F12" s="14" t="n">
        <v>1.39</v>
      </c>
      <c r="G12" s="12" t="inlineStr">
        <is>
          <t>%</t>
        </is>
      </c>
      <c r="H12" s="12" t="inlineStr">
        <is>
          <t>higher</t>
        </is>
      </c>
      <c r="I12" s="12" t="inlineStr">
        <is>
          <t>Platform revenue − rider cost − payment processing − 50% of refunds. Headline definition: before promotions.</t>
        </is>
      </c>
    </row>
    <row r="13">
      <c r="A13" s="9" t="inlineStr">
        <is>
          <t>Profitability</t>
        </is>
      </c>
      <c r="B13" s="9" t="inlineStr">
        <is>
          <t>Contribution margin</t>
        </is>
      </c>
      <c r="C13" s="9" t="inlineStr">
        <is>
          <t>1M</t>
        </is>
      </c>
      <c r="D13" s="10" t="n">
        <v>6.432</v>
      </c>
      <c r="E13" s="10" t="n">
        <v>6.4</v>
      </c>
      <c r="F13" s="11" t="n">
        <v>0.03</v>
      </c>
      <c r="G13" s="9" t="inlineStr">
        <is>
          <t>pp</t>
        </is>
      </c>
      <c r="H13" s="9" t="inlineStr">
        <is>
          <t>higher</t>
        </is>
      </c>
      <c r="I13" s="9" t="inlineStr">
        <is>
          <t>Contribution profit as a share of platform revenue (before promotions).</t>
        </is>
      </c>
    </row>
    <row r="14">
      <c r="A14" s="12" t="inlineStr">
        <is>
          <t>Profitability</t>
        </is>
      </c>
      <c r="B14" s="12" t="inlineStr">
        <is>
          <t>Contribution / order</t>
        </is>
      </c>
      <c r="C14" s="12" t="inlineStr">
        <is>
          <t>1M</t>
        </is>
      </c>
      <c r="D14" s="13" t="n">
        <v>0.271</v>
      </c>
      <c r="E14" s="13" t="n">
        <v>0.271</v>
      </c>
      <c r="F14" s="14" t="n">
        <v>0</v>
      </c>
      <c r="G14" s="12" t="inlineStr">
        <is>
          <t>%</t>
        </is>
      </c>
      <c r="H14" s="12" t="inlineStr">
        <is>
          <t>higher</t>
        </is>
      </c>
      <c r="I14" s="12" t="inlineStr">
        <is>
          <t>Contribution profit divided by delivered orders.</t>
        </is>
      </c>
    </row>
    <row r="15">
      <c r="A15" s="9" t="inlineStr">
        <is>
          <t>Unit economics (per order)</t>
        </is>
      </c>
      <c r="B15" s="9" t="inlineStr">
        <is>
          <t>Avg. order value (AOV)</t>
        </is>
      </c>
      <c r="C15" s="9" t="inlineStr">
        <is>
          <t>1M</t>
        </is>
      </c>
      <c r="D15" s="10" t="n">
        <v>16.295</v>
      </c>
      <c r="E15" s="10" t="n">
        <v>16.34</v>
      </c>
      <c r="F15" s="11" t="n">
        <v>-0.27</v>
      </c>
      <c r="G15" s="9" t="inlineStr">
        <is>
          <t>%</t>
        </is>
      </c>
      <c r="H15" s="9" t="inlineStr">
        <is>
          <t>higher</t>
        </is>
      </c>
      <c r="I15" s="9" t="inlineStr">
        <is>
          <t>GMV divided by delivered orders.</t>
        </is>
      </c>
    </row>
    <row r="16">
      <c r="A16" s="12" t="inlineStr">
        <is>
          <t>Unit economics (per order)</t>
        </is>
      </c>
      <c r="B16" s="12" t="inlineStr">
        <is>
          <t>Revenue / order</t>
        </is>
      </c>
      <c r="C16" s="12" t="inlineStr">
        <is>
          <t>1M</t>
        </is>
      </c>
      <c r="D16" s="13" t="n">
        <v>4.219</v>
      </c>
      <c r="E16" s="13" t="n">
        <v>4.24</v>
      </c>
      <c r="F16" s="14" t="n">
        <v>-0.49</v>
      </c>
      <c r="G16" s="12" t="inlineStr">
        <is>
          <t>%</t>
        </is>
      </c>
      <c r="H16" s="12" t="inlineStr">
        <is>
          <t>higher</t>
        </is>
      </c>
      <c r="I16" s="12" t="inlineStr">
        <is>
          <t>Platform revenue divided by delivered orders.</t>
        </is>
      </c>
    </row>
    <row r="17">
      <c r="A17" s="9" t="inlineStr">
        <is>
          <t>Unit economics (per order)</t>
        </is>
      </c>
      <c r="B17" s="9" t="inlineStr">
        <is>
          <t>Cost to serve / order</t>
        </is>
      </c>
      <c r="C17" s="9" t="inlineStr">
        <is>
          <t>1M</t>
        </is>
      </c>
      <c r="D17" s="10" t="n">
        <v>3.948</v>
      </c>
      <c r="E17" s="10" t="n">
        <v>3.969</v>
      </c>
      <c r="F17" s="11" t="n">
        <v>-0.52</v>
      </c>
      <c r="G17" s="9" t="inlineStr">
        <is>
          <t>%</t>
        </is>
      </c>
      <c r="H17" s="9" t="inlineStr">
        <is>
          <t>lower</t>
        </is>
      </c>
      <c r="I17" s="9" t="inlineStr">
        <is>
          <t>Platform revenue − contribution profit, per delivered order (rider + payment + refund cost).</t>
        </is>
      </c>
    </row>
    <row r="18">
      <c r="A18" s="12" t="inlineStr">
        <is>
          <t>Unit economics (per order)</t>
        </is>
      </c>
      <c r="B18" s="12" t="inlineStr">
        <is>
          <t>Delivery-fee coverage</t>
        </is>
      </c>
      <c r="C18" s="12" t="inlineStr">
        <is>
          <t>1M</t>
        </is>
      </c>
      <c r="D18" s="13" t="n">
        <v>86.39400000000001</v>
      </c>
      <c r="E18" s="13" t="n">
        <v>86.289</v>
      </c>
      <c r="F18" s="14" t="n">
        <v>0.1</v>
      </c>
      <c r="G18" s="12" t="inlineStr">
        <is>
          <t>pp</t>
        </is>
      </c>
      <c r="H18" s="12" t="inlineStr">
        <is>
          <t>higher</t>
        </is>
      </c>
      <c r="I18" s="12" t="inlineStr">
        <is>
          <t>Delivery fees collected as a share of rider cost — how much of delivery the customer pays for.</t>
        </is>
      </c>
    </row>
    <row r="19">
      <c r="A19" s="9" t="inlineStr">
        <is>
          <t>Unit economics (per order)</t>
        </is>
      </c>
      <c r="B19" s="9" t="inlineStr">
        <is>
          <t>Promotion burden</t>
        </is>
      </c>
      <c r="C19" s="9" t="inlineStr">
        <is>
          <t>1M</t>
        </is>
      </c>
      <c r="D19" s="10" t="n">
        <v>25.102</v>
      </c>
      <c r="E19" s="10" t="n">
        <v>24.863</v>
      </c>
      <c r="F19" s="11" t="n">
        <v>0.24</v>
      </c>
      <c r="G19" s="9" t="inlineStr">
        <is>
          <t>pp</t>
        </is>
      </c>
      <c r="H19" s="9" t="inlineStr">
        <is>
          <t>lower</t>
        </is>
      </c>
      <c r="I19" s="9" t="inlineStr">
        <is>
          <t>Promotion cost (discounts funded by the platform) as a share of platform revenue.</t>
        </is>
      </c>
    </row>
    <row r="20">
      <c r="A20" s="12" t="inlineStr">
        <is>
          <t>Customers</t>
        </is>
      </c>
      <c r="B20" s="12" t="inlineStr">
        <is>
          <t>New customers / month</t>
        </is>
      </c>
      <c r="C20" s="12" t="inlineStr">
        <is>
          <t>3M</t>
        </is>
      </c>
      <c r="D20" s="13" t="n">
        <v>128.333</v>
      </c>
      <c r="E20" s="13" t="n">
        <v>137.667</v>
      </c>
      <c r="F20" s="14" t="n">
        <v>-6.78</v>
      </c>
      <c r="G20" s="12" t="inlineStr">
        <is>
          <t>%</t>
        </is>
      </c>
      <c r="H20" s="12" t="inlineStr">
        <is>
          <t>higher</t>
        </is>
      </c>
      <c r="I20" s="12" t="inlineStr">
        <is>
          <t>Customers who signed up in the month and ordered in it; average of the last 3 months.</t>
        </is>
      </c>
    </row>
    <row r="21">
      <c r="A21" s="9" t="inlineStr">
        <is>
          <t>Customers</t>
        </is>
      </c>
      <c r="B21" s="9" t="inlineStr">
        <is>
          <t>New-customer share</t>
        </is>
      </c>
      <c r="C21" s="9" t="inlineStr">
        <is>
          <t>3M</t>
        </is>
      </c>
      <c r="D21" s="10" t="n">
        <v>2.154</v>
      </c>
      <c r="E21" s="10" t="n">
        <v>2.413</v>
      </c>
      <c r="F21" s="11" t="n">
        <v>-0.26</v>
      </c>
      <c r="G21" s="9" t="inlineStr">
        <is>
          <t>pp</t>
        </is>
      </c>
      <c r="H21" s="9" t="inlineStr">
        <is>
          <t>-</t>
        </is>
      </c>
      <c r="I21" s="9" t="inlineStr">
        <is>
          <t>New customers as a share of active customers; last 3 months pooled.</t>
        </is>
      </c>
    </row>
    <row r="22">
      <c r="A22" s="12" t="inlineStr">
        <is>
          <t>Customers</t>
        </is>
      </c>
      <c r="B22" s="12" t="inlineStr">
        <is>
          <t>Month-1 retention</t>
        </is>
      </c>
      <c r="C22" s="12" t="inlineStr">
        <is>
          <t>1M</t>
        </is>
      </c>
      <c r="D22" s="13" t="n">
        <v>48.74</v>
      </c>
      <c r="E22" s="13" t="n">
        <v>48.4</v>
      </c>
      <c r="F22" s="14" t="n">
        <v>0.34</v>
      </c>
      <c r="G22" s="12" t="inlineStr">
        <is>
          <t>pp</t>
        </is>
      </c>
      <c r="H22" s="12" t="inlineStr">
        <is>
          <t>higher</t>
        </is>
      </c>
      <c r="I22" s="12" t="inlineStr">
        <is>
          <t>Of customers who signed up in the previous month, the share who ordered this month.</t>
        </is>
      </c>
    </row>
    <row r="23">
      <c r="A23" s="9" t="inlineStr">
        <is>
          <t>Customers</t>
        </is>
      </c>
      <c r="B23" s="9" t="inlineStr">
        <is>
          <t>Subscriber order share</t>
        </is>
      </c>
      <c r="C23" s="9" t="inlineStr">
        <is>
          <t>1M</t>
        </is>
      </c>
      <c r="D23" s="10" t="n">
        <v>13.946</v>
      </c>
      <c r="E23" s="10" t="n">
        <v>13.951</v>
      </c>
      <c r="F23" s="11" t="n">
        <v>-0.01</v>
      </c>
      <c r="G23" s="9" t="inlineStr">
        <is>
          <t>pp</t>
        </is>
      </c>
      <c r="H23" s="9" t="inlineStr">
        <is>
          <t>higher</t>
        </is>
      </c>
      <c r="I23" s="9" t="inlineStr">
        <is>
          <t>Share of delivered orders placed by subscribed customers.</t>
        </is>
      </c>
    </row>
    <row r="24">
      <c r="A24" s="12" t="inlineStr">
        <is>
          <t>Delivery operations</t>
        </is>
      </c>
      <c r="B24" s="12" t="inlineStr">
        <is>
          <t>On-time rate</t>
        </is>
      </c>
      <c r="C24" s="12" t="inlineStr">
        <is>
          <t>1M</t>
        </is>
      </c>
      <c r="D24" s="13" t="n">
        <v>76.608</v>
      </c>
      <c r="E24" s="13" t="n">
        <v>75.108</v>
      </c>
      <c r="F24" s="14" t="n">
        <v>1.5</v>
      </c>
      <c r="G24" s="12" t="inlineStr">
        <is>
          <t>pp</t>
        </is>
      </c>
      <c r="H24" s="12" t="inlineStr">
        <is>
          <t>higher</t>
        </is>
      </c>
      <c r="I24" s="12" t="inlineStr">
        <is>
          <t>Delivered orders arriving within 5 minutes of the estimate.</t>
        </is>
      </c>
    </row>
    <row r="25">
      <c r="A25" s="9" t="inlineStr">
        <is>
          <t>Delivery operations</t>
        </is>
      </c>
      <c r="B25" s="9" t="inlineStr">
        <is>
          <t>Avg. delivery time</t>
        </is>
      </c>
      <c r="C25" s="9" t="inlineStr">
        <is>
          <t>1M</t>
        </is>
      </c>
      <c r="D25" s="10" t="n">
        <v>36.403</v>
      </c>
      <c r="E25" s="10" t="n">
        <v>36.827</v>
      </c>
      <c r="F25" s="11" t="n">
        <v>-1.15</v>
      </c>
      <c r="G25" s="9" t="inlineStr">
        <is>
          <t>%</t>
        </is>
      </c>
      <c r="H25" s="9" t="inlineStr">
        <is>
          <t>lower</t>
        </is>
      </c>
      <c r="I25" s="9" t="inlineStr">
        <is>
          <t>Average actual delivery time of delivered orders.</t>
        </is>
      </c>
    </row>
    <row r="26">
      <c r="A26" s="12" t="inlineStr">
        <is>
          <t>Delivery operations</t>
        </is>
      </c>
      <c r="B26" s="12" t="inlineStr">
        <is>
          <t>Very-late rate (&gt;15 min)</t>
        </is>
      </c>
      <c r="C26" s="12" t="inlineStr">
        <is>
          <t>1M</t>
        </is>
      </c>
      <c r="D26" s="13" t="n">
        <v>1.206</v>
      </c>
      <c r="E26" s="13" t="n">
        <v>1.763</v>
      </c>
      <c r="F26" s="14" t="n">
        <v>-0.5600000000000001</v>
      </c>
      <c r="G26" s="12" t="inlineStr">
        <is>
          <t>pp</t>
        </is>
      </c>
      <c r="H26" s="12" t="inlineStr">
        <is>
          <t>lower</t>
        </is>
      </c>
      <c r="I26" s="12" t="inlineStr">
        <is>
          <t>Delivered orders arriving more than 15 minutes late.</t>
        </is>
      </c>
    </row>
    <row r="27">
      <c r="A27" s="9" t="inlineStr">
        <is>
          <t>Delivery operations</t>
        </is>
      </c>
      <c r="B27" s="9" t="inlineStr">
        <is>
          <t>Cancellation rate</t>
        </is>
      </c>
      <c r="C27" s="9" t="inlineStr">
        <is>
          <t>1M</t>
        </is>
      </c>
      <c r="D27" s="10" t="n">
        <v>5.947</v>
      </c>
      <c r="E27" s="10" t="n">
        <v>6.218</v>
      </c>
      <c r="F27" s="11" t="n">
        <v>-0.27</v>
      </c>
      <c r="G27" s="9" t="inlineStr">
        <is>
          <t>pp</t>
        </is>
      </c>
      <c r="H27" s="9" t="inlineStr">
        <is>
          <t>lower</t>
        </is>
      </c>
      <c r="I27" s="9" t="inlineStr">
        <is>
          <t>Cancelled orders as a share of all orders placed.</t>
        </is>
      </c>
    </row>
    <row r="28">
      <c r="A28" s="12" t="inlineStr">
        <is>
          <t>Delivery operations</t>
        </is>
      </c>
      <c r="B28" s="12" t="inlineStr">
        <is>
          <t>Refund rate</t>
        </is>
      </c>
      <c r="C28" s="12" t="inlineStr">
        <is>
          <t>1M</t>
        </is>
      </c>
      <c r="D28" s="13" t="n">
        <v>3.571</v>
      </c>
      <c r="E28" s="13" t="n">
        <v>3.558</v>
      </c>
      <c r="F28" s="14" t="n">
        <v>0.01</v>
      </c>
      <c r="G28" s="12" t="inlineStr">
        <is>
          <t>pp</t>
        </is>
      </c>
      <c r="H28" s="12" t="inlineStr">
        <is>
          <t>lower</t>
        </is>
      </c>
      <c r="I28" s="12" t="inlineStr">
        <is>
          <t>Refunded orders as a share of delivered orders.</t>
        </is>
      </c>
    </row>
    <row r="29">
      <c r="A29" s="9" t="inlineStr">
        <is>
          <t>Delivery operations</t>
        </is>
      </c>
      <c r="B29" s="9" t="inlineStr">
        <is>
          <t>Avg. rating</t>
        </is>
      </c>
      <c r="C29" s="9" t="inlineStr">
        <is>
          <t>1M</t>
        </is>
      </c>
      <c r="D29" s="10" t="n">
        <v>4.361</v>
      </c>
      <c r="E29" s="10" t="n">
        <v>4.359</v>
      </c>
      <c r="F29" s="11" t="n">
        <v>0.04</v>
      </c>
      <c r="G29" s="9" t="inlineStr">
        <is>
          <t>%</t>
        </is>
      </c>
      <c r="H29" s="9" t="inlineStr">
        <is>
          <t>higher</t>
        </is>
      </c>
      <c r="I29" s="9" t="inlineStr">
        <is>
          <t>Average customer rating (1–5) of delivered orders.</t>
        </is>
      </c>
    </row>
    <row r="30">
      <c r="A30" s="12" t="inlineStr">
        <is>
          <t>Marketplace health</t>
        </is>
      </c>
      <c r="B30" s="12" t="inlineStr">
        <is>
          <t>Active restaurants</t>
        </is>
      </c>
      <c r="C30" s="12" t="inlineStr">
        <is>
          <t>1M</t>
        </is>
      </c>
      <c r="D30" s="13" t="n">
        <v>305</v>
      </c>
      <c r="E30" s="13" t="n">
        <v>305</v>
      </c>
      <c r="F30" s="14" t="n">
        <v>0</v>
      </c>
      <c r="G30" s="12" t="inlineStr">
        <is>
          <t>%</t>
        </is>
      </c>
      <c r="H30" s="12" t="inlineStr">
        <is>
          <t>higher</t>
        </is>
      </c>
      <c r="I30" s="12" t="inlineStr">
        <is>
          <t>Restaurants with at least one delivered order in the month.</t>
        </is>
      </c>
    </row>
    <row r="31">
      <c r="A31" s="9" t="inlineStr">
        <is>
          <t>Marketplace health</t>
        </is>
      </c>
      <c r="B31" s="9" t="inlineStr">
        <is>
          <t>Orders / restaurant</t>
        </is>
      </c>
      <c r="C31" s="9" t="inlineStr">
        <is>
          <t>1M</t>
        </is>
      </c>
      <c r="D31" s="10" t="n">
        <v>42.413</v>
      </c>
      <c r="E31" s="10" t="n">
        <v>41.833</v>
      </c>
      <c r="F31" s="11" t="n">
        <v>1.39</v>
      </c>
      <c r="G31" s="9" t="inlineStr">
        <is>
          <t>%</t>
        </is>
      </c>
      <c r="H31" s="9" t="inlineStr">
        <is>
          <t>higher</t>
        </is>
      </c>
      <c r="I31" s="9" t="inlineStr">
        <is>
          <t>Delivered orders divided by active restaurants.</t>
        </is>
      </c>
    </row>
    <row r="32">
      <c r="A32" s="12" t="inlineStr">
        <is>
          <t>Marketplace health</t>
        </is>
      </c>
      <c r="B32" s="12" t="inlineStr">
        <is>
          <t>Active riders</t>
        </is>
      </c>
      <c r="C32" s="12" t="inlineStr">
        <is>
          <t>1M</t>
        </is>
      </c>
      <c r="D32" s="13" t="n">
        <v>483</v>
      </c>
      <c r="E32" s="13" t="n">
        <v>483</v>
      </c>
      <c r="F32" s="14" t="n">
        <v>0</v>
      </c>
      <c r="G32" s="12" t="inlineStr">
        <is>
          <t>%</t>
        </is>
      </c>
      <c r="H32" s="12" t="inlineStr">
        <is>
          <t>-</t>
        </is>
      </c>
      <c r="I32" s="12" t="inlineStr">
        <is>
          <t>Riders who completed at least one order in the month.</t>
        </is>
      </c>
    </row>
    <row r="33">
      <c r="A33" s="9" t="inlineStr">
        <is>
          <t>Marketplace health</t>
        </is>
      </c>
      <c r="B33" s="9" t="inlineStr">
        <is>
          <t>Rider utilization</t>
        </is>
      </c>
      <c r="C33" s="9" t="inlineStr">
        <is>
          <t>1M</t>
        </is>
      </c>
      <c r="D33" s="10" t="n">
        <v>43.389</v>
      </c>
      <c r="E33" s="10" t="n">
        <v>42.292</v>
      </c>
      <c r="F33" s="11" t="n">
        <v>1.1</v>
      </c>
      <c r="G33" s="9" t="inlineStr">
        <is>
          <t>pp</t>
        </is>
      </c>
      <c r="H33" s="9" t="inlineStr">
        <is>
          <t>higher</t>
        </is>
      </c>
      <c r="I33" s="9" t="inlineStr">
        <is>
          <t>Busy hours as a share of online hours across all riders.</t>
        </is>
      </c>
    </row>
    <row r="34">
      <c r="A34" s="12" t="inlineStr">
        <is>
          <t>Marketplace health</t>
        </is>
      </c>
      <c r="B34" s="12" t="inlineStr">
        <is>
          <t>Orders / rider-hour</t>
        </is>
      </c>
      <c r="C34" s="12" t="inlineStr">
        <is>
          <t>1M</t>
        </is>
      </c>
      <c r="D34" s="13" t="n">
        <v>1.204</v>
      </c>
      <c r="E34" s="13" t="n">
        <v>1.163</v>
      </c>
      <c r="F34" s="14" t="n">
        <v>3.54</v>
      </c>
      <c r="G34" s="12" t="inlineStr">
        <is>
          <t>%</t>
        </is>
      </c>
      <c r="H34" s="12" t="inlineStr">
        <is>
          <t>higher</t>
        </is>
      </c>
      <c r="I34" s="12" t="inlineStr">
        <is>
          <t>Delivered orders divided by rider online hours.</t>
        </is>
      </c>
    </row>
    <row r="35">
      <c r="A35" s="9" t="inlineStr">
        <is>
          <t>Marketing efficiency</t>
        </is>
      </c>
      <c r="B35" s="9" t="inlineStr">
        <is>
          <t>Marketing spend / month</t>
        </is>
      </c>
      <c r="C35" s="9" t="inlineStr">
        <is>
          <t>3M</t>
        </is>
      </c>
      <c r="D35" s="10" t="n">
        <v>2417.717</v>
      </c>
      <c r="E35" s="10" t="n">
        <v>2613.673</v>
      </c>
      <c r="F35" s="11" t="n">
        <v>-7.5</v>
      </c>
      <c r="G35" s="9" t="inlineStr">
        <is>
          <t>%</t>
        </is>
      </c>
      <c r="H35" s="9" t="inlineStr">
        <is>
          <t>-</t>
        </is>
      </c>
      <c r="I35" s="9" t="inlineStr">
        <is>
          <t>Observed acquisition spend across channels; monthly average of the last 3 months.</t>
        </is>
      </c>
    </row>
    <row r="36">
      <c r="A36" s="12" t="inlineStr">
        <is>
          <t>Marketing efficiency</t>
        </is>
      </c>
      <c r="B36" s="12" t="inlineStr">
        <is>
          <t>Blended CAC</t>
        </is>
      </c>
      <c r="C36" s="12" t="inlineStr">
        <is>
          <t>3M</t>
        </is>
      </c>
      <c r="D36" s="13" t="n">
        <v>6.836</v>
      </c>
      <c r="E36" s="13" t="n">
        <v>6.771</v>
      </c>
      <c r="F36" s="14" t="n">
        <v>0.96</v>
      </c>
      <c r="G36" s="12" t="inlineStr">
        <is>
          <t>%</t>
        </is>
      </c>
      <c r="H36" s="12" t="inlineStr">
        <is>
          <t>lower</t>
        </is>
      </c>
      <c r="I36" s="12" t="inlineStr">
        <is>
          <t>Marketing spend divided by sign-ups; last 3 months pooled.</t>
        </is>
      </c>
    </row>
    <row r="37">
      <c r="A37" s="9" t="inlineStr">
        <is>
          <t>Marketing efficiency</t>
        </is>
      </c>
      <c r="B37" s="9" t="inlineStr">
        <is>
          <t>Marketing % of revenue</t>
        </is>
      </c>
      <c r="C37" s="9" t="inlineStr">
        <is>
          <t>3M</t>
        </is>
      </c>
      <c r="D37" s="10" t="n">
        <v>4.573</v>
      </c>
      <c r="E37" s="10" t="n">
        <v>5.227</v>
      </c>
      <c r="F37" s="11" t="n">
        <v>-0.65</v>
      </c>
      <c r="G37" s="9" t="inlineStr">
        <is>
          <t>pp</t>
        </is>
      </c>
      <c r="H37" s="9" t="inlineStr">
        <is>
          <t>lower</t>
        </is>
      </c>
      <c r="I37" s="9" t="inlineStr">
        <is>
          <t>Marketing spend as a share of platform revenue; last 3 months pooled.</t>
        </is>
      </c>
    </row>
    <row r="38">
      <c r="A38" s="12" t="inlineStr">
        <is>
          <t>Marketing efficiency</t>
        </is>
      </c>
      <c r="B38" s="12" t="inlineStr">
        <is>
          <t>Discount rate (of GMV)</t>
        </is>
      </c>
      <c r="C38" s="12" t="inlineStr">
        <is>
          <t>1M</t>
        </is>
      </c>
      <c r="D38" s="13" t="n">
        <v>6.499</v>
      </c>
      <c r="E38" s="13" t="n">
        <v>6.452</v>
      </c>
      <c r="F38" s="14" t="n">
        <v>0.05</v>
      </c>
      <c r="G38" s="12" t="inlineStr">
        <is>
          <t>pp</t>
        </is>
      </c>
      <c r="H38" s="12" t="inlineStr">
        <is>
          <t>lower</t>
        </is>
      </c>
      <c r="I38" s="12" t="inlineStr">
        <is>
          <t>Discount amount as a share of GMV.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28" customWidth="1" min="5" max="5"/>
    <col width="15" customWidth="1" min="6" max="6"/>
    <col width="31" customWidth="1" min="7" max="7"/>
    <col width="19" customWidth="1" min="8" max="8"/>
    <col width="25" customWidth="1" min="9" max="9"/>
    <col width="27" customWidth="1" min="10" max="10"/>
    <col width="26" customWidth="1" min="11" max="11"/>
    <col width="28" customWidth="1" min="12" max="12"/>
    <col width="26" customWidth="1" min="13" max="13"/>
    <col width="34" customWidth="1" min="14" max="14"/>
    <col width="25" customWidth="1" min="15" max="15"/>
    <col width="18" customWidth="1" min="16" max="16"/>
    <col width="28" customWidth="1" min="17" max="17"/>
    <col width="18" customWidth="1" min="18" max="18"/>
    <col width="20" customWidth="1" min="19" max="19"/>
    <col width="23" customWidth="1" min="20" max="20"/>
    <col width="17" customWidth="1" min="21" max="21"/>
    <col width="20" customWidth="1" min="22" max="22"/>
    <col width="23" customWidth="1" min="23" max="23"/>
    <col width="15" customWidth="1" min="24" max="24"/>
    <col width="23" customWidth="1" min="25" max="25"/>
    <col width="23" customWidth="1" min="26" max="26"/>
    <col width="17" customWidth="1" min="27" max="27"/>
    <col width="12" customWidth="1" min="28" max="28"/>
    <col width="13" customWidth="1" min="29" max="29"/>
    <col width="23" customWidth="1" min="30" max="30"/>
    <col width="19" customWidth="1" min="31" max="31"/>
    <col width="13" customWidth="1" min="32" max="32"/>
  </cols>
  <sheetData>
    <row r="1" ht="28" customHeight="1">
      <c r="A1" s="1" t="inlineStr">
        <is>
          <t>Monthly KPI Time Series</t>
        </is>
      </c>
    </row>
    <row r="2" ht="16" customHeight="1">
      <c r="A2" s="2" t="inlineStr">
        <is>
          <t>Every monthly series behind the scorecard sparklines and the dashboard charts</t>
        </is>
      </c>
    </row>
    <row r="4">
      <c r="A4" s="8" t="inlineStr">
        <is>
          <t>Month</t>
        </is>
      </c>
      <c r="B4" s="8" t="inlineStr">
        <is>
          <t>Gmv</t>
        </is>
      </c>
      <c r="C4" s="8" t="inlineStr">
        <is>
          <t>Delivered Orders</t>
        </is>
      </c>
      <c r="D4" s="8" t="inlineStr">
        <is>
          <t>Active Customers</t>
        </is>
      </c>
      <c r="E4" s="8" t="inlineStr">
        <is>
          <t>Orders Per Active Customer</t>
        </is>
      </c>
      <c r="F4" s="8" t="inlineStr">
        <is>
          <t>Take Rate Pct</t>
        </is>
      </c>
      <c r="G4" s="8" t="inlineStr">
        <is>
          <t>Contribution Profit Per Order</t>
        </is>
      </c>
      <c r="H4" s="8" t="inlineStr">
        <is>
          <t>Revenue Per Order</t>
        </is>
      </c>
      <c r="I4" s="8" t="inlineStr">
        <is>
          <t>Cost To Serve Per Order</t>
        </is>
      </c>
      <c r="J4" s="8" t="inlineStr">
        <is>
          <t>Delivery Fee Coverage Pct</t>
        </is>
      </c>
      <c r="K4" s="8" t="inlineStr">
        <is>
          <t>Promotion Cost Per Order</t>
        </is>
      </c>
      <c r="L4" s="8" t="inlineStr">
        <is>
          <t>Promotion Cost Pct Revenue</t>
        </is>
      </c>
      <c r="M4" s="8" t="inlineStr">
        <is>
          <t>Contribution After Promo</t>
        </is>
      </c>
      <c r="N4" s="8" t="inlineStr">
        <is>
          <t>Contribution After Promo Margin Pct</t>
        </is>
      </c>
      <c r="O4" s="8" t="inlineStr">
        <is>
          <t>Activated New Customers</t>
        </is>
      </c>
      <c r="P4" s="8" t="inlineStr">
        <is>
          <t>M1 Retention Pct</t>
        </is>
      </c>
      <c r="Q4" s="8" t="inlineStr">
        <is>
          <t>Subscriber Order Share Pct</t>
        </is>
      </c>
      <c r="R4" s="8" t="inlineStr">
        <is>
          <t>On Time Rate Pct</t>
        </is>
      </c>
      <c r="S4" s="8" t="inlineStr">
        <is>
          <t>Very Late Rate Pct</t>
        </is>
      </c>
      <c r="T4" s="8" t="inlineStr">
        <is>
          <t>Cancellation Rate Pct</t>
        </is>
      </c>
      <c r="U4" s="8" t="inlineStr">
        <is>
          <t>Refund Rate Pct</t>
        </is>
      </c>
      <c r="V4" s="8" t="inlineStr">
        <is>
          <t>Active Restaurants</t>
        </is>
      </c>
      <c r="W4" s="8" t="inlineStr">
        <is>
          <t>Orders Per Restaurant</t>
        </is>
      </c>
      <c r="X4" s="8" t="inlineStr">
        <is>
          <t>Active Riders</t>
        </is>
      </c>
      <c r="Y4" s="8" t="inlineStr">
        <is>
          <t>Rider Utilization Pct</t>
        </is>
      </c>
      <c r="Z4" s="8" t="inlineStr">
        <is>
          <t>Orders Per Rider Hour</t>
        </is>
      </c>
      <c r="AA4" s="8" t="inlineStr">
        <is>
          <t>Marketing Spend</t>
        </is>
      </c>
      <c r="AB4" s="8" t="inlineStr">
        <is>
          <t>Signups</t>
        </is>
      </c>
      <c r="AC4" s="8" t="inlineStr">
        <is>
          <t>Blended Cac</t>
        </is>
      </c>
      <c r="AD4" s="8" t="inlineStr">
        <is>
          <t>Marketing Pct Revenue</t>
        </is>
      </c>
      <c r="AE4" s="8" t="inlineStr">
        <is>
          <t>Discount Rate Pct</t>
        </is>
      </c>
      <c r="AF4" s="8" t="inlineStr">
        <is>
          <t>Gmv Yoy Pct</t>
        </is>
      </c>
    </row>
    <row r="5">
      <c r="A5" s="9" t="inlineStr">
        <is>
          <t>2025-04</t>
        </is>
      </c>
      <c r="B5" s="10" t="n">
        <v>95986.27</v>
      </c>
      <c r="C5" s="10" t="n">
        <v>5914</v>
      </c>
      <c r="D5" s="10" t="n">
        <v>2845</v>
      </c>
      <c r="E5" s="10" t="n">
        <v>2.079</v>
      </c>
      <c r="F5" s="10" t="n">
        <v>25.878</v>
      </c>
      <c r="G5" s="10" t="n">
        <v>0.254</v>
      </c>
      <c r="H5" s="10" t="n">
        <v>4.2</v>
      </c>
      <c r="I5" s="10" t="n">
        <v>3.946</v>
      </c>
      <c r="J5" s="10" t="n">
        <v>86.13</v>
      </c>
      <c r="K5" s="10" t="n">
        <v>1.04</v>
      </c>
      <c r="L5" s="10" t="n">
        <v>24.765</v>
      </c>
      <c r="M5" s="10" t="n">
        <v>-4651.08</v>
      </c>
      <c r="N5" s="10" t="n">
        <v>-18.724</v>
      </c>
      <c r="O5" s="10" t="n">
        <v>110</v>
      </c>
      <c r="P5" s="10" t="n">
        <v>40.78</v>
      </c>
      <c r="Q5" s="10" t="n">
        <v>12.462</v>
      </c>
      <c r="R5" s="10" t="n">
        <v>76.294</v>
      </c>
      <c r="S5" s="10" t="n">
        <v>1.674</v>
      </c>
      <c r="T5" s="10" t="n">
        <v>5.948</v>
      </c>
      <c r="U5" s="10" t="n">
        <v>3.449</v>
      </c>
      <c r="V5" s="10" t="n">
        <v>298</v>
      </c>
      <c r="W5" s="10" t="n">
        <v>19.846</v>
      </c>
      <c r="X5" s="10" t="n">
        <v>458</v>
      </c>
      <c r="Y5" s="10" t="n">
        <v>41.507</v>
      </c>
      <c r="Z5" s="10" t="n">
        <v>1.154</v>
      </c>
      <c r="AA5" s="10" t="n">
        <v>2158.2</v>
      </c>
      <c r="AB5" s="10" t="n">
        <v>362</v>
      </c>
      <c r="AC5" s="10" t="n">
        <v>5.962</v>
      </c>
      <c r="AD5" s="10" t="n">
        <v>8.689</v>
      </c>
      <c r="AE5" s="10" t="n">
        <v>6.409</v>
      </c>
      <c r="AF5" s="10" t="n"/>
    </row>
    <row r="6">
      <c r="A6" s="12" t="inlineStr">
        <is>
          <t>2025-05</t>
        </is>
      </c>
      <c r="B6" s="13" t="n">
        <v>103735.65</v>
      </c>
      <c r="C6" s="13" t="n">
        <v>6405</v>
      </c>
      <c r="D6" s="13" t="n">
        <v>3159</v>
      </c>
      <c r="E6" s="13" t="n">
        <v>2.028</v>
      </c>
      <c r="F6" s="13" t="n">
        <v>25.835</v>
      </c>
      <c r="G6" s="13" t="n">
        <v>0.217</v>
      </c>
      <c r="H6" s="13" t="n">
        <v>4.184</v>
      </c>
      <c r="I6" s="13" t="n">
        <v>3.967</v>
      </c>
      <c r="J6" s="13" t="n">
        <v>86.322</v>
      </c>
      <c r="K6" s="13" t="n">
        <v>1.056</v>
      </c>
      <c r="L6" s="13" t="n">
        <v>25.249</v>
      </c>
      <c r="M6" s="13" t="n">
        <v>-5373.915</v>
      </c>
      <c r="N6" s="13" t="n">
        <v>-20.052</v>
      </c>
      <c r="O6" s="13" t="n">
        <v>138</v>
      </c>
      <c r="P6" s="13" t="n">
        <v>42.54</v>
      </c>
      <c r="Q6" s="13" t="n">
        <v>13.286</v>
      </c>
      <c r="R6" s="13" t="n">
        <v>76.28400000000001</v>
      </c>
      <c r="S6" s="13" t="n">
        <v>1.421</v>
      </c>
      <c r="T6" s="13" t="n">
        <v>6.291</v>
      </c>
      <c r="U6" s="13" t="n">
        <v>3.685</v>
      </c>
      <c r="V6" s="13" t="n">
        <v>300</v>
      </c>
      <c r="W6" s="13" t="n">
        <v>21.35</v>
      </c>
      <c r="X6" s="13" t="n">
        <v>471</v>
      </c>
      <c r="Y6" s="13" t="n">
        <v>43.201</v>
      </c>
      <c r="Z6" s="13" t="n">
        <v>1.189</v>
      </c>
      <c r="AA6" s="13" t="n">
        <v>2653.45</v>
      </c>
      <c r="AB6" s="13" t="n">
        <v>435</v>
      </c>
      <c r="AC6" s="13" t="n">
        <v>6.1</v>
      </c>
      <c r="AD6" s="13" t="n">
        <v>9.901</v>
      </c>
      <c r="AE6" s="13" t="n">
        <v>6.523</v>
      </c>
      <c r="AF6" s="13" t="n"/>
    </row>
    <row r="7">
      <c r="A7" s="9" t="inlineStr">
        <is>
          <t>2025-06</t>
        </is>
      </c>
      <c r="B7" s="10" t="n">
        <v>113510.82</v>
      </c>
      <c r="C7" s="10" t="n">
        <v>7009</v>
      </c>
      <c r="D7" s="10" t="n">
        <v>3394</v>
      </c>
      <c r="E7" s="10" t="n">
        <v>2.065</v>
      </c>
      <c r="F7" s="10" t="n">
        <v>26.06</v>
      </c>
      <c r="G7" s="10" t="n">
        <v>0.305</v>
      </c>
      <c r="H7" s="10" t="n">
        <v>4.22</v>
      </c>
      <c r="I7" s="10" t="n">
        <v>3.915</v>
      </c>
      <c r="J7" s="10" t="n">
        <v>86.504</v>
      </c>
      <c r="K7" s="10" t="n">
        <v>1.046</v>
      </c>
      <c r="L7" s="10" t="n">
        <v>24.775</v>
      </c>
      <c r="M7" s="10" t="n">
        <v>-5190.42</v>
      </c>
      <c r="N7" s="10" t="n">
        <v>-17.546</v>
      </c>
      <c r="O7" s="10" t="n">
        <v>119</v>
      </c>
      <c r="P7" s="10" t="n">
        <v>46.21</v>
      </c>
      <c r="Q7" s="10" t="n">
        <v>12.841</v>
      </c>
      <c r="R7" s="10" t="n">
        <v>75.517</v>
      </c>
      <c r="S7" s="10" t="n">
        <v>1.47</v>
      </c>
      <c r="T7" s="10" t="n">
        <v>6.284</v>
      </c>
      <c r="U7" s="10" t="n">
        <v>3.196</v>
      </c>
      <c r="V7" s="10" t="n">
        <v>303</v>
      </c>
      <c r="W7" s="10" t="n">
        <v>23.132</v>
      </c>
      <c r="X7" s="10" t="n">
        <v>470</v>
      </c>
      <c r="Y7" s="10" t="n">
        <v>43.005</v>
      </c>
      <c r="Z7" s="10" t="n">
        <v>1.189</v>
      </c>
      <c r="AA7" s="10" t="n">
        <v>2160.77</v>
      </c>
      <c r="AB7" s="10" t="n">
        <v>383</v>
      </c>
      <c r="AC7" s="10" t="n">
        <v>5.642</v>
      </c>
      <c r="AD7" s="10" t="n">
        <v>7.305</v>
      </c>
      <c r="AE7" s="10" t="n">
        <v>6.456</v>
      </c>
      <c r="AF7" s="10" t="n"/>
    </row>
    <row r="8">
      <c r="A8" s="12" t="inlineStr">
        <is>
          <t>2025-07</t>
        </is>
      </c>
      <c r="B8" s="13" t="n">
        <v>124426.88</v>
      </c>
      <c r="C8" s="13" t="n">
        <v>7646</v>
      </c>
      <c r="D8" s="13" t="n">
        <v>3571</v>
      </c>
      <c r="E8" s="13" t="n">
        <v>2.141</v>
      </c>
      <c r="F8" s="13" t="n">
        <v>25.842</v>
      </c>
      <c r="G8" s="13" t="n">
        <v>0.245</v>
      </c>
      <c r="H8" s="13" t="n">
        <v>4.205</v>
      </c>
      <c r="I8" s="13" t="n">
        <v>3.961</v>
      </c>
      <c r="J8" s="13" t="n">
        <v>86.268</v>
      </c>
      <c r="K8" s="13" t="n">
        <v>1.109</v>
      </c>
      <c r="L8" s="13" t="n">
        <v>26.37</v>
      </c>
      <c r="M8" s="13" t="n">
        <v>-6608.465</v>
      </c>
      <c r="N8" s="13" t="n">
        <v>-20.552</v>
      </c>
      <c r="O8" s="13" t="n">
        <v>132</v>
      </c>
      <c r="P8" s="13" t="n">
        <v>46.48</v>
      </c>
      <c r="Q8" s="13" t="n">
        <v>12.791</v>
      </c>
      <c r="R8" s="13" t="n">
        <v>76.17100000000001</v>
      </c>
      <c r="S8" s="13" t="n">
        <v>1.648</v>
      </c>
      <c r="T8" s="13" t="n">
        <v>6.184</v>
      </c>
      <c r="U8" s="13" t="n">
        <v>3.597</v>
      </c>
      <c r="V8" s="13" t="n">
        <v>303</v>
      </c>
      <c r="W8" s="13" t="n">
        <v>25.234</v>
      </c>
      <c r="X8" s="13" t="n">
        <v>469</v>
      </c>
      <c r="Y8" s="13" t="n">
        <v>42.842</v>
      </c>
      <c r="Z8" s="13" t="n">
        <v>1.185</v>
      </c>
      <c r="AA8" s="13" t="n">
        <v>2495.96</v>
      </c>
      <c r="AB8" s="13" t="n">
        <v>415</v>
      </c>
      <c r="AC8" s="13" t="n">
        <v>6.014</v>
      </c>
      <c r="AD8" s="13" t="n">
        <v>7.762</v>
      </c>
      <c r="AE8" s="13" t="n">
        <v>6.814</v>
      </c>
      <c r="AF8" s="13" t="n"/>
    </row>
    <row r="9">
      <c r="A9" s="9" t="inlineStr">
        <is>
          <t>2025-08</t>
        </is>
      </c>
      <c r="B9" s="10" t="n">
        <v>131804.22</v>
      </c>
      <c r="C9" s="10" t="n">
        <v>8054</v>
      </c>
      <c r="D9" s="10" t="n">
        <v>3808</v>
      </c>
      <c r="E9" s="10" t="n">
        <v>2.115</v>
      </c>
      <c r="F9" s="10" t="n">
        <v>25.848</v>
      </c>
      <c r="G9" s="10" t="n">
        <v>0.258</v>
      </c>
      <c r="H9" s="10" t="n">
        <v>4.23</v>
      </c>
      <c r="I9" s="10" t="n">
        <v>3.972</v>
      </c>
      <c r="J9" s="10" t="n">
        <v>86.318</v>
      </c>
      <c r="K9" s="10" t="n">
        <v>1.051</v>
      </c>
      <c r="L9" s="10" t="n">
        <v>24.838</v>
      </c>
      <c r="M9" s="10" t="n">
        <v>-6383.015</v>
      </c>
      <c r="N9" s="10" t="n">
        <v>-18.736</v>
      </c>
      <c r="O9" s="10" t="n">
        <v>106</v>
      </c>
      <c r="P9" s="10" t="n">
        <v>43.13</v>
      </c>
      <c r="Q9" s="10" t="n">
        <v>12.963</v>
      </c>
      <c r="R9" s="10" t="n">
        <v>75.962</v>
      </c>
      <c r="S9" s="10" t="n">
        <v>1.564</v>
      </c>
      <c r="T9" s="10" t="n">
        <v>5.999</v>
      </c>
      <c r="U9" s="10" t="n">
        <v>3.514</v>
      </c>
      <c r="V9" s="10" t="n">
        <v>300</v>
      </c>
      <c r="W9" s="10" t="n">
        <v>26.847</v>
      </c>
      <c r="X9" s="10" t="n">
        <v>469</v>
      </c>
      <c r="Y9" s="10" t="n">
        <v>41.41</v>
      </c>
      <c r="Z9" s="10" t="n">
        <v>1.144</v>
      </c>
      <c r="AA9" s="10" t="n">
        <v>2381.12</v>
      </c>
      <c r="AB9" s="10" t="n">
        <v>383</v>
      </c>
      <c r="AC9" s="10" t="n">
        <v>6.217</v>
      </c>
      <c r="AD9" s="10" t="n">
        <v>6.989</v>
      </c>
      <c r="AE9" s="10" t="n">
        <v>6.42</v>
      </c>
      <c r="AF9" s="10" t="n"/>
    </row>
    <row r="10">
      <c r="A10" s="12" t="inlineStr">
        <is>
          <t>2025-09</t>
        </is>
      </c>
      <c r="B10" s="13" t="n">
        <v>129355.66</v>
      </c>
      <c r="C10" s="13" t="n">
        <v>7896</v>
      </c>
      <c r="D10" s="13" t="n">
        <v>3861</v>
      </c>
      <c r="E10" s="13" t="n">
        <v>2.045</v>
      </c>
      <c r="F10" s="13" t="n">
        <v>26.008</v>
      </c>
      <c r="G10" s="13" t="n">
        <v>0.332</v>
      </c>
      <c r="H10" s="13" t="n">
        <v>4.261</v>
      </c>
      <c r="I10" s="13" t="n">
        <v>3.929</v>
      </c>
      <c r="J10" s="13" t="n">
        <v>86.26000000000001</v>
      </c>
      <c r="K10" s="13" t="n">
        <v>1.636</v>
      </c>
      <c r="L10" s="13" t="n">
        <v>38.393</v>
      </c>
      <c r="M10" s="13" t="n">
        <v>-10293.88</v>
      </c>
      <c r="N10" s="13" t="n">
        <v>-30.598</v>
      </c>
      <c r="O10" s="13" t="n">
        <v>126</v>
      </c>
      <c r="P10" s="13" t="n">
        <v>42.82</v>
      </c>
      <c r="Q10" s="13" t="n">
        <v>12.994</v>
      </c>
      <c r="R10" s="13" t="n">
        <v>76.279</v>
      </c>
      <c r="S10" s="13" t="n">
        <v>1.672</v>
      </c>
      <c r="T10" s="13" t="n">
        <v>6.246</v>
      </c>
      <c r="U10" s="13" t="n">
        <v>3.533</v>
      </c>
      <c r="V10" s="13" t="n">
        <v>302</v>
      </c>
      <c r="W10" s="13" t="n">
        <v>26.146</v>
      </c>
      <c r="X10" s="13" t="n">
        <v>468</v>
      </c>
      <c r="Y10" s="13" t="n">
        <v>42.159</v>
      </c>
      <c r="Z10" s="13" t="n">
        <v>1.168</v>
      </c>
      <c r="AA10" s="13" t="n">
        <v>2523.33</v>
      </c>
      <c r="AB10" s="13" t="n">
        <v>401</v>
      </c>
      <c r="AC10" s="13" t="n">
        <v>6.293</v>
      </c>
      <c r="AD10" s="13" t="n">
        <v>7.5</v>
      </c>
      <c r="AE10" s="13" t="n">
        <v>9.984999999999999</v>
      </c>
      <c r="AF10" s="13" t="n"/>
    </row>
    <row r="11">
      <c r="A11" s="9" t="inlineStr">
        <is>
          <t>2025-10</t>
        </is>
      </c>
      <c r="B11" s="10" t="n">
        <v>135839.09</v>
      </c>
      <c r="C11" s="10" t="n">
        <v>8377</v>
      </c>
      <c r="D11" s="10" t="n">
        <v>4065</v>
      </c>
      <c r="E11" s="10" t="n">
        <v>2.061</v>
      </c>
      <c r="F11" s="10" t="n">
        <v>25.806</v>
      </c>
      <c r="G11" s="10" t="n">
        <v>0.224</v>
      </c>
      <c r="H11" s="10" t="n">
        <v>4.185</v>
      </c>
      <c r="I11" s="10" t="n">
        <v>3.961</v>
      </c>
      <c r="J11" s="10" t="n">
        <v>86.60899999999999</v>
      </c>
      <c r="K11" s="10" t="n">
        <v>1.025</v>
      </c>
      <c r="L11" s="10" t="n">
        <v>24.484</v>
      </c>
      <c r="M11" s="10" t="n">
        <v>-6709.88</v>
      </c>
      <c r="N11" s="10" t="n">
        <v>-19.141</v>
      </c>
      <c r="O11" s="10" t="n">
        <v>104</v>
      </c>
      <c r="P11" s="10" t="n">
        <v>47.13</v>
      </c>
      <c r="Q11" s="10" t="n">
        <v>12.952</v>
      </c>
      <c r="R11" s="10" t="n">
        <v>76.60299999999999</v>
      </c>
      <c r="S11" s="10" t="n">
        <v>1.48</v>
      </c>
      <c r="T11" s="10" t="n">
        <v>6.161</v>
      </c>
      <c r="U11" s="10" t="n">
        <v>3.724</v>
      </c>
      <c r="V11" s="10" t="n">
        <v>300</v>
      </c>
      <c r="W11" s="10" t="n">
        <v>27.923</v>
      </c>
      <c r="X11" s="10" t="n">
        <v>472</v>
      </c>
      <c r="Y11" s="10" t="n">
        <v>42.633</v>
      </c>
      <c r="Z11" s="10" t="n">
        <v>1.18</v>
      </c>
      <c r="AA11" s="10" t="n">
        <v>2393.57</v>
      </c>
      <c r="AB11" s="10" t="n">
        <v>385</v>
      </c>
      <c r="AC11" s="10" t="n">
        <v>6.217</v>
      </c>
      <c r="AD11" s="10" t="n">
        <v>6.828</v>
      </c>
      <c r="AE11" s="10" t="n">
        <v>6.318</v>
      </c>
      <c r="AF11" s="10" t="n"/>
    </row>
    <row r="12">
      <c r="A12" s="12" t="inlineStr">
        <is>
          <t>2025-11</t>
        </is>
      </c>
      <c r="B12" s="13" t="n">
        <v>164077.71</v>
      </c>
      <c r="C12" s="13" t="n">
        <v>10031</v>
      </c>
      <c r="D12" s="13" t="n">
        <v>4648</v>
      </c>
      <c r="E12" s="13" t="n">
        <v>2.158</v>
      </c>
      <c r="F12" s="13" t="n">
        <v>25.939</v>
      </c>
      <c r="G12" s="13" t="n">
        <v>0.29</v>
      </c>
      <c r="H12" s="13" t="n">
        <v>4.243</v>
      </c>
      <c r="I12" s="13" t="n">
        <v>3.953</v>
      </c>
      <c r="J12" s="13" t="n">
        <v>86.56999999999999</v>
      </c>
      <c r="K12" s="13" t="n">
        <v>1.058</v>
      </c>
      <c r="L12" s="13" t="n">
        <v>24.931</v>
      </c>
      <c r="M12" s="13" t="n">
        <v>-7699.56</v>
      </c>
      <c r="N12" s="13" t="n">
        <v>-18.091</v>
      </c>
      <c r="O12" s="13" t="n">
        <v>117</v>
      </c>
      <c r="P12" s="13" t="n">
        <v>45.97</v>
      </c>
      <c r="Q12" s="13" t="n">
        <v>13.02</v>
      </c>
      <c r="R12" s="13" t="n">
        <v>76.852</v>
      </c>
      <c r="S12" s="13" t="n">
        <v>1.276</v>
      </c>
      <c r="T12" s="13" t="n">
        <v>6.103</v>
      </c>
      <c r="U12" s="13" t="n">
        <v>3.499</v>
      </c>
      <c r="V12" s="13" t="n">
        <v>302</v>
      </c>
      <c r="W12" s="13" t="n">
        <v>33.215</v>
      </c>
      <c r="X12" s="13" t="n">
        <v>479</v>
      </c>
      <c r="Y12" s="13" t="n">
        <v>42.991</v>
      </c>
      <c r="Z12" s="13" t="n">
        <v>1.182</v>
      </c>
      <c r="AA12" s="13" t="n">
        <v>2397.17</v>
      </c>
      <c r="AB12" s="13" t="n">
        <v>374</v>
      </c>
      <c r="AC12" s="13" t="n">
        <v>6.41</v>
      </c>
      <c r="AD12" s="13" t="n">
        <v>5.633</v>
      </c>
      <c r="AE12" s="13" t="n">
        <v>6.467</v>
      </c>
      <c r="AF12" s="13" t="n"/>
    </row>
    <row r="13">
      <c r="A13" s="9" t="inlineStr">
        <is>
          <t>2025-12</t>
        </is>
      </c>
      <c r="B13" s="10" t="n">
        <v>178379.38</v>
      </c>
      <c r="C13" s="10" t="n">
        <v>10924</v>
      </c>
      <c r="D13" s="10" t="n">
        <v>4867</v>
      </c>
      <c r="E13" s="10" t="n">
        <v>2.245</v>
      </c>
      <c r="F13" s="10" t="n">
        <v>26.044</v>
      </c>
      <c r="G13" s="10" t="n">
        <v>0.338</v>
      </c>
      <c r="H13" s="10" t="n">
        <v>4.253</v>
      </c>
      <c r="I13" s="10" t="n">
        <v>3.915</v>
      </c>
      <c r="J13" s="10" t="n">
        <v>86.48099999999999</v>
      </c>
      <c r="K13" s="10" t="n">
        <v>1.051</v>
      </c>
      <c r="L13" s="10" t="n">
        <v>24.708</v>
      </c>
      <c r="M13" s="10" t="n">
        <v>-7791.515</v>
      </c>
      <c r="N13" s="10" t="n">
        <v>-16.771</v>
      </c>
      <c r="O13" s="10" t="n">
        <v>136</v>
      </c>
      <c r="P13" s="10" t="n">
        <v>50.27</v>
      </c>
      <c r="Q13" s="10" t="n">
        <v>13.658</v>
      </c>
      <c r="R13" s="10" t="n">
        <v>74.81699999999999</v>
      </c>
      <c r="S13" s="10" t="n">
        <v>1.858</v>
      </c>
      <c r="T13" s="10" t="n">
        <v>6.127</v>
      </c>
      <c r="U13" s="10" t="n">
        <v>3.195</v>
      </c>
      <c r="V13" s="10" t="n">
        <v>304</v>
      </c>
      <c r="W13" s="10" t="n">
        <v>35.934</v>
      </c>
      <c r="X13" s="10" t="n">
        <v>483</v>
      </c>
      <c r="Y13" s="10" t="n">
        <v>42.371</v>
      </c>
      <c r="Z13" s="10" t="n">
        <v>1.174</v>
      </c>
      <c r="AA13" s="10" t="n">
        <v>2871.74</v>
      </c>
      <c r="AB13" s="10" t="n">
        <v>431</v>
      </c>
      <c r="AC13" s="10" t="n">
        <v>6.663</v>
      </c>
      <c r="AD13" s="10" t="n">
        <v>6.181</v>
      </c>
      <c r="AE13" s="10" t="n">
        <v>6.435</v>
      </c>
      <c r="AF13" s="10" t="n"/>
    </row>
    <row r="14">
      <c r="A14" s="12" t="inlineStr">
        <is>
          <t>2026-01</t>
        </is>
      </c>
      <c r="B14" s="13" t="n">
        <v>136758.7</v>
      </c>
      <c r="C14" s="13" t="n">
        <v>8434</v>
      </c>
      <c r="D14" s="13" t="n">
        <v>4401</v>
      </c>
      <c r="E14" s="13" t="n">
        <v>1.916</v>
      </c>
      <c r="F14" s="13" t="n">
        <v>25.894</v>
      </c>
      <c r="G14" s="13" t="n">
        <v>0.263</v>
      </c>
      <c r="H14" s="13" t="n">
        <v>4.199</v>
      </c>
      <c r="I14" s="13" t="n">
        <v>3.936</v>
      </c>
      <c r="J14" s="13" t="n">
        <v>86.43000000000001</v>
      </c>
      <c r="K14" s="13" t="n">
        <v>1.663</v>
      </c>
      <c r="L14" s="13" t="n">
        <v>39.616</v>
      </c>
      <c r="M14" s="13" t="n">
        <v>-11809.045</v>
      </c>
      <c r="N14" s="13" t="n">
        <v>-33.347</v>
      </c>
      <c r="O14" s="13" t="n">
        <v>106</v>
      </c>
      <c r="P14" s="13" t="n">
        <v>38.98</v>
      </c>
      <c r="Q14" s="13" t="n">
        <v>12.592</v>
      </c>
      <c r="R14" s="13" t="n">
        <v>76.31</v>
      </c>
      <c r="S14" s="13" t="n">
        <v>1.352</v>
      </c>
      <c r="T14" s="13" t="n">
        <v>6.143</v>
      </c>
      <c r="U14" s="13" t="n">
        <v>3.735</v>
      </c>
      <c r="V14" s="13" t="n">
        <v>304</v>
      </c>
      <c r="W14" s="13" t="n">
        <v>27.743</v>
      </c>
      <c r="X14" s="13" t="n">
        <v>477</v>
      </c>
      <c r="Y14" s="13" t="n">
        <v>42.243</v>
      </c>
      <c r="Z14" s="13" t="n">
        <v>1.167</v>
      </c>
      <c r="AA14" s="13" t="n">
        <v>2549.01</v>
      </c>
      <c r="AB14" s="13" t="n">
        <v>397</v>
      </c>
      <c r="AC14" s="13" t="n">
        <v>6.421</v>
      </c>
      <c r="AD14" s="13" t="n">
        <v>7.198</v>
      </c>
      <c r="AE14" s="13" t="n">
        <v>10.258</v>
      </c>
      <c r="AF14" s="13" t="n"/>
    </row>
    <row r="15">
      <c r="A15" s="9" t="inlineStr">
        <is>
          <t>2026-02</t>
        </is>
      </c>
      <c r="B15" s="10" t="n">
        <v>131046.45</v>
      </c>
      <c r="C15" s="10" t="n">
        <v>8106</v>
      </c>
      <c r="D15" s="10" t="n">
        <v>4346</v>
      </c>
      <c r="E15" s="10" t="n">
        <v>1.865</v>
      </c>
      <c r="F15" s="10" t="n">
        <v>25.896</v>
      </c>
      <c r="G15" s="10" t="n">
        <v>0.268</v>
      </c>
      <c r="H15" s="10" t="n">
        <v>4.187</v>
      </c>
      <c r="I15" s="10" t="n">
        <v>3.919</v>
      </c>
      <c r="J15" s="10" t="n">
        <v>86.32299999999999</v>
      </c>
      <c r="K15" s="10" t="n">
        <v>1.68</v>
      </c>
      <c r="L15" s="10" t="n">
        <v>40.131</v>
      </c>
      <c r="M15" s="10" t="n">
        <v>-11449.77</v>
      </c>
      <c r="N15" s="10" t="n">
        <v>-33.739</v>
      </c>
      <c r="O15" s="10" t="n">
        <v>112</v>
      </c>
      <c r="P15" s="10" t="n">
        <v>39.8</v>
      </c>
      <c r="Q15" s="10" t="n">
        <v>12.904</v>
      </c>
      <c r="R15" s="10" t="n">
        <v>75.21599999999999</v>
      </c>
      <c r="S15" s="10" t="n">
        <v>1.369</v>
      </c>
      <c r="T15" s="10" t="n">
        <v>6.17</v>
      </c>
      <c r="U15" s="10" t="n">
        <v>3.454</v>
      </c>
      <c r="V15" s="10" t="n">
        <v>303</v>
      </c>
      <c r="W15" s="10" t="n">
        <v>26.752</v>
      </c>
      <c r="X15" s="10" t="n">
        <v>478</v>
      </c>
      <c r="Y15" s="10" t="n">
        <v>42.828</v>
      </c>
      <c r="Z15" s="10" t="n">
        <v>1.193</v>
      </c>
      <c r="AA15" s="10" t="n">
        <v>2243.98</v>
      </c>
      <c r="AB15" s="10" t="n">
        <v>378</v>
      </c>
      <c r="AC15" s="10" t="n">
        <v>5.936</v>
      </c>
      <c r="AD15" s="10" t="n">
        <v>6.612</v>
      </c>
      <c r="AE15" s="10" t="n">
        <v>10.392</v>
      </c>
      <c r="AF15" s="10" t="n"/>
    </row>
    <row r="16">
      <c r="A16" s="12" t="inlineStr">
        <is>
          <t>2026-03</t>
        </is>
      </c>
      <c r="B16" s="13" t="n">
        <v>158116.98</v>
      </c>
      <c r="C16" s="13" t="n">
        <v>9682</v>
      </c>
      <c r="D16" s="13" t="n">
        <v>4887</v>
      </c>
      <c r="E16" s="13" t="n">
        <v>1.981</v>
      </c>
      <c r="F16" s="13" t="n">
        <v>25.89</v>
      </c>
      <c r="G16" s="13" t="n">
        <v>0.274</v>
      </c>
      <c r="H16" s="13" t="n">
        <v>4.228</v>
      </c>
      <c r="I16" s="13" t="n">
        <v>3.954</v>
      </c>
      <c r="J16" s="13" t="n">
        <v>86.389</v>
      </c>
      <c r="K16" s="13" t="n">
        <v>1.069</v>
      </c>
      <c r="L16" s="13" t="n">
        <v>25.292</v>
      </c>
      <c r="M16" s="13" t="n">
        <v>-7697.35</v>
      </c>
      <c r="N16" s="13" t="n">
        <v>-18.803</v>
      </c>
      <c r="O16" s="13" t="n">
        <v>134</v>
      </c>
      <c r="P16" s="13" t="n">
        <v>43.65</v>
      </c>
      <c r="Q16" s="13" t="n">
        <v>13.324</v>
      </c>
      <c r="R16" s="13" t="n">
        <v>75.491</v>
      </c>
      <c r="S16" s="13" t="n">
        <v>1.601</v>
      </c>
      <c r="T16" s="13" t="n">
        <v>6.173</v>
      </c>
      <c r="U16" s="13" t="n">
        <v>3.646</v>
      </c>
      <c r="V16" s="13" t="n">
        <v>304</v>
      </c>
      <c r="W16" s="13" t="n">
        <v>31.849</v>
      </c>
      <c r="X16" s="13" t="n">
        <v>481</v>
      </c>
      <c r="Y16" s="13" t="n">
        <v>42.419</v>
      </c>
      <c r="Z16" s="13" t="n">
        <v>1.174</v>
      </c>
      <c r="AA16" s="13" t="n">
        <v>2596.15</v>
      </c>
      <c r="AB16" s="13" t="n">
        <v>398</v>
      </c>
      <c r="AC16" s="13" t="n">
        <v>6.523</v>
      </c>
      <c r="AD16" s="13" t="n">
        <v>6.342</v>
      </c>
      <c r="AE16" s="13" t="n">
        <v>6.548</v>
      </c>
      <c r="AF16" s="13" t="n"/>
    </row>
    <row r="17">
      <c r="A17" s="9" t="inlineStr">
        <is>
          <t>2026-04</t>
        </is>
      </c>
      <c r="B17" s="10" t="n">
        <v>169169.94</v>
      </c>
      <c r="C17" s="10" t="n">
        <v>10370</v>
      </c>
      <c r="D17" s="10" t="n">
        <v>5150</v>
      </c>
      <c r="E17" s="10" t="n">
        <v>2.014</v>
      </c>
      <c r="F17" s="10" t="n">
        <v>25.838</v>
      </c>
      <c r="G17" s="10" t="n">
        <v>0.26</v>
      </c>
      <c r="H17" s="10" t="n">
        <v>4.215</v>
      </c>
      <c r="I17" s="10" t="n">
        <v>3.955</v>
      </c>
      <c r="J17" s="10" t="n">
        <v>86.47199999999999</v>
      </c>
      <c r="K17" s="10" t="n">
        <v>1.102</v>
      </c>
      <c r="L17" s="10" t="n">
        <v>26.139</v>
      </c>
      <c r="M17" s="10" t="n">
        <v>-8732.545</v>
      </c>
      <c r="N17" s="10" t="n">
        <v>-19.979</v>
      </c>
      <c r="O17" s="10" t="n">
        <v>127</v>
      </c>
      <c r="P17" s="10" t="n">
        <v>40.95</v>
      </c>
      <c r="Q17" s="10" t="n">
        <v>13.799</v>
      </c>
      <c r="R17" s="10" t="n">
        <v>75.834</v>
      </c>
      <c r="S17" s="10" t="n">
        <v>1.292</v>
      </c>
      <c r="T17" s="10" t="n">
        <v>6.103</v>
      </c>
      <c r="U17" s="10" t="n">
        <v>3.838</v>
      </c>
      <c r="V17" s="10" t="n">
        <v>304</v>
      </c>
      <c r="W17" s="10" t="n">
        <v>34.112</v>
      </c>
      <c r="X17" s="10" t="n">
        <v>477</v>
      </c>
      <c r="Y17" s="10" t="n">
        <v>43.965</v>
      </c>
      <c r="Z17" s="10" t="n">
        <v>1.217</v>
      </c>
      <c r="AA17" s="10" t="n">
        <v>2551.38</v>
      </c>
      <c r="AB17" s="10" t="n">
        <v>395</v>
      </c>
      <c r="AC17" s="10" t="n">
        <v>6.459</v>
      </c>
      <c r="AD17" s="10" t="n">
        <v>5.837</v>
      </c>
      <c r="AE17" s="10" t="n">
        <v>6.754</v>
      </c>
      <c r="AF17" s="10" t="n">
        <v>76.244</v>
      </c>
    </row>
    <row r="18">
      <c r="A18" s="12" t="inlineStr">
        <is>
          <t>2026-05</t>
        </is>
      </c>
      <c r="B18" s="13" t="n">
        <v>176709.69</v>
      </c>
      <c r="C18" s="13" t="n">
        <v>10841</v>
      </c>
      <c r="D18" s="13" t="n">
        <v>5398</v>
      </c>
      <c r="E18" s="13" t="n">
        <v>2.008</v>
      </c>
      <c r="F18" s="13" t="n">
        <v>26.027</v>
      </c>
      <c r="G18" s="13" t="n">
        <v>0.324</v>
      </c>
      <c r="H18" s="13" t="n">
        <v>4.242</v>
      </c>
      <c r="I18" s="13" t="n">
        <v>3.918</v>
      </c>
      <c r="J18" s="13" t="n">
        <v>86.241</v>
      </c>
      <c r="K18" s="13" t="n">
        <v>1.062</v>
      </c>
      <c r="L18" s="13" t="n">
        <v>25.04</v>
      </c>
      <c r="M18" s="13" t="n">
        <v>-8003.185</v>
      </c>
      <c r="N18" s="13" t="n">
        <v>-17.401</v>
      </c>
      <c r="O18" s="13" t="n">
        <v>123</v>
      </c>
      <c r="P18" s="13" t="n">
        <v>46.33</v>
      </c>
      <c r="Q18" s="13" t="n">
        <v>13.384</v>
      </c>
      <c r="R18" s="13" t="n">
        <v>75.639</v>
      </c>
      <c r="S18" s="13" t="n">
        <v>1.448</v>
      </c>
      <c r="T18" s="13" t="n">
        <v>6.139</v>
      </c>
      <c r="U18" s="13" t="n">
        <v>3.256</v>
      </c>
      <c r="V18" s="13" t="n">
        <v>305</v>
      </c>
      <c r="W18" s="13" t="n">
        <v>35.544</v>
      </c>
      <c r="X18" s="13" t="n">
        <v>480</v>
      </c>
      <c r="Y18" s="13" t="n">
        <v>42.754</v>
      </c>
      <c r="Z18" s="13" t="n">
        <v>1.189</v>
      </c>
      <c r="AA18" s="13" t="n">
        <v>2582.59</v>
      </c>
      <c r="AB18" s="13" t="n">
        <v>386</v>
      </c>
      <c r="AC18" s="13" t="n">
        <v>6.691</v>
      </c>
      <c r="AD18" s="13" t="n">
        <v>5.615</v>
      </c>
      <c r="AE18" s="13" t="n">
        <v>6.517</v>
      </c>
      <c r="AF18" s="13" t="n">
        <v>70.346</v>
      </c>
    </row>
    <row r="19">
      <c r="A19" s="9" t="inlineStr">
        <is>
          <t>2026-06</t>
        </is>
      </c>
      <c r="B19" s="10" t="n">
        <v>192624.92</v>
      </c>
      <c r="C19" s="10" t="n">
        <v>11797</v>
      </c>
      <c r="D19" s="10" t="n">
        <v>5700</v>
      </c>
      <c r="E19" s="10" t="n">
        <v>2.07</v>
      </c>
      <c r="F19" s="10" t="n">
        <v>25.915</v>
      </c>
      <c r="G19" s="10" t="n">
        <v>0.288</v>
      </c>
      <c r="H19" s="10" t="n">
        <v>4.231</v>
      </c>
      <c r="I19" s="10" t="n">
        <v>3.944</v>
      </c>
      <c r="J19" s="10" t="n">
        <v>86.465</v>
      </c>
      <c r="K19" s="10" t="n">
        <v>1.104</v>
      </c>
      <c r="L19" s="10" t="n">
        <v>26.082</v>
      </c>
      <c r="M19" s="10" t="n">
        <v>-9624.24</v>
      </c>
      <c r="N19" s="10" t="n">
        <v>-19.28</v>
      </c>
      <c r="O19" s="10" t="n">
        <v>134</v>
      </c>
      <c r="P19" s="10" t="n">
        <v>48.7</v>
      </c>
      <c r="Q19" s="10" t="n">
        <v>13.453</v>
      </c>
      <c r="R19" s="10" t="n">
        <v>75.824</v>
      </c>
      <c r="S19" s="10" t="n">
        <v>1.322</v>
      </c>
      <c r="T19" s="10" t="n">
        <v>5.978</v>
      </c>
      <c r="U19" s="10" t="n">
        <v>3.459</v>
      </c>
      <c r="V19" s="10" t="n">
        <v>304</v>
      </c>
      <c r="W19" s="10" t="n">
        <v>38.806</v>
      </c>
      <c r="X19" s="10" t="n">
        <v>485</v>
      </c>
      <c r="Y19" s="10" t="n">
        <v>43.215</v>
      </c>
      <c r="Z19" s="10" t="n">
        <v>1.196</v>
      </c>
      <c r="AA19" s="10" t="n">
        <v>2541.7</v>
      </c>
      <c r="AB19" s="10" t="n">
        <v>376</v>
      </c>
      <c r="AC19" s="10" t="n">
        <v>6.76</v>
      </c>
      <c r="AD19" s="10" t="n">
        <v>5.092</v>
      </c>
      <c r="AE19" s="10" t="n">
        <v>6.759</v>
      </c>
      <c r="AF19" s="10" t="n">
        <v>69.697</v>
      </c>
    </row>
    <row r="20">
      <c r="A20" s="12" t="inlineStr">
        <is>
          <t>2026-07</t>
        </is>
      </c>
      <c r="B20" s="13" t="n">
        <v>208477.41</v>
      </c>
      <c r="C20" s="13" t="n">
        <v>12759</v>
      </c>
      <c r="D20" s="13" t="n">
        <v>6019</v>
      </c>
      <c r="E20" s="13" t="n">
        <v>2.12</v>
      </c>
      <c r="F20" s="13" t="n">
        <v>25.949</v>
      </c>
      <c r="G20" s="13" t="n">
        <v>0.271</v>
      </c>
      <c r="H20" s="13" t="n">
        <v>4.24</v>
      </c>
      <c r="I20" s="13" t="n">
        <v>3.969</v>
      </c>
      <c r="J20" s="13" t="n">
        <v>86.289</v>
      </c>
      <c r="K20" s="13" t="n">
        <v>1.054</v>
      </c>
      <c r="L20" s="13" t="n">
        <v>24.863</v>
      </c>
      <c r="M20" s="13" t="n">
        <v>-9987.66</v>
      </c>
      <c r="N20" s="13" t="n">
        <v>-18.463</v>
      </c>
      <c r="O20" s="13" t="n">
        <v>156</v>
      </c>
      <c r="P20" s="13" t="n">
        <v>48.4</v>
      </c>
      <c r="Q20" s="13" t="n">
        <v>13.951</v>
      </c>
      <c r="R20" s="13" t="n">
        <v>75.108</v>
      </c>
      <c r="S20" s="13" t="n">
        <v>1.763</v>
      </c>
      <c r="T20" s="13" t="n">
        <v>6.218</v>
      </c>
      <c r="U20" s="13" t="n">
        <v>3.558</v>
      </c>
      <c r="V20" s="13" t="n">
        <v>305</v>
      </c>
      <c r="W20" s="13" t="n">
        <v>41.833</v>
      </c>
      <c r="X20" s="13" t="n">
        <v>483</v>
      </c>
      <c r="Y20" s="13" t="n">
        <v>42.292</v>
      </c>
      <c r="Z20" s="13" t="n">
        <v>1.163</v>
      </c>
      <c r="AA20" s="13" t="n">
        <v>2716.73</v>
      </c>
      <c r="AB20" s="13" t="n">
        <v>396</v>
      </c>
      <c r="AC20" s="13" t="n">
        <v>6.86</v>
      </c>
      <c r="AD20" s="13" t="n">
        <v>5.022</v>
      </c>
      <c r="AE20" s="13" t="n">
        <v>6.452</v>
      </c>
      <c r="AF20" s="13" t="n">
        <v>67.55</v>
      </c>
    </row>
    <row r="21">
      <c r="A21" s="9" t="inlineStr">
        <is>
          <t>2026-08</t>
        </is>
      </c>
      <c r="B21" s="10" t="n">
        <v>210794.65</v>
      </c>
      <c r="C21" s="10" t="n">
        <v>12936</v>
      </c>
      <c r="D21" s="10" t="n">
        <v>6152</v>
      </c>
      <c r="E21" s="10" t="n">
        <v>2.103</v>
      </c>
      <c r="F21" s="10" t="n">
        <v>25.892</v>
      </c>
      <c r="G21" s="10" t="n">
        <v>0.271</v>
      </c>
      <c r="H21" s="10" t="n">
        <v>4.219</v>
      </c>
      <c r="I21" s="10" t="n">
        <v>3.948</v>
      </c>
      <c r="J21" s="10" t="n">
        <v>86.39400000000001</v>
      </c>
      <c r="K21" s="10" t="n">
        <v>1.059</v>
      </c>
      <c r="L21" s="10" t="n">
        <v>25.102</v>
      </c>
      <c r="M21" s="10" t="n">
        <v>-10189.88</v>
      </c>
      <c r="N21" s="10" t="n">
        <v>-18.67</v>
      </c>
      <c r="O21" s="10" t="n">
        <v>95</v>
      </c>
      <c r="P21" s="10" t="n">
        <v>48.74</v>
      </c>
      <c r="Q21" s="10" t="n">
        <v>13.946</v>
      </c>
      <c r="R21" s="10" t="n">
        <v>76.608</v>
      </c>
      <c r="S21" s="10" t="n">
        <v>1.206</v>
      </c>
      <c r="T21" s="10" t="n">
        <v>5.947</v>
      </c>
      <c r="U21" s="10" t="n">
        <v>3.571</v>
      </c>
      <c r="V21" s="10" t="n">
        <v>305</v>
      </c>
      <c r="W21" s="10" t="n">
        <v>42.413</v>
      </c>
      <c r="X21" s="10" t="n">
        <v>483</v>
      </c>
      <c r="Y21" s="10" t="n">
        <v>43.389</v>
      </c>
      <c r="Z21" s="10" t="n">
        <v>1.204</v>
      </c>
      <c r="AA21" s="10" t="n">
        <v>1994.72</v>
      </c>
      <c r="AB21" s="10" t="n">
        <v>289</v>
      </c>
      <c r="AC21" s="10" t="n">
        <v>6.902</v>
      </c>
      <c r="AD21" s="10" t="n">
        <v>3.655</v>
      </c>
      <c r="AE21" s="10" t="n">
        <v>6.499</v>
      </c>
      <c r="AF21" s="10" t="n">
        <v>59.93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4" customWidth="1" min="6" max="6"/>
    <col width="21" customWidth="1" min="7" max="7"/>
    <col width="18" customWidth="1" min="8" max="8"/>
    <col width="12" customWidth="1" min="9" max="9"/>
    <col width="25" customWidth="1" min="10" max="10"/>
    <col width="16" customWidth="1" min="11" max="11"/>
    <col width="15" customWidth="1" min="12" max="12"/>
    <col width="21" customWidth="1" min="13" max="13"/>
    <col width="25" customWidth="1" min="14" max="14"/>
  </cols>
  <sheetData>
    <row r="1" ht="28" customHeight="1">
      <c r="A1" s="1" t="inlineStr">
        <is>
          <t>Monthly P&amp;L</t>
        </is>
      </c>
    </row>
    <row r="2" ht="16" customHeight="1">
      <c r="A2" s="2" t="inlineStr">
        <is>
          <t>Contribution-margin marketplace P&amp;L, computed from order-level ledger data</t>
        </is>
      </c>
    </row>
    <row r="4">
      <c r="A4" s="8" t="inlineStr">
        <is>
          <t>Month</t>
        </is>
      </c>
      <c r="B4" s="8" t="inlineStr">
        <is>
          <t>Gmv</t>
        </is>
      </c>
      <c r="C4" s="8" t="inlineStr">
        <is>
          <t>Discount Amount</t>
        </is>
      </c>
      <c r="D4" s="8" t="inlineStr">
        <is>
          <t>Net Customer Spend</t>
        </is>
      </c>
      <c r="E4" s="8" t="inlineStr">
        <is>
          <t>Commission Revenue</t>
        </is>
      </c>
      <c r="F4" s="8" t="inlineStr">
        <is>
          <t>Delivery Fee Collected</t>
        </is>
      </c>
      <c r="G4" s="8" t="inlineStr">
        <is>
          <t>Service Fee Revenue</t>
        </is>
      </c>
      <c r="H4" s="8" t="inlineStr">
        <is>
          <t>Platform Revenue</t>
        </is>
      </c>
      <c r="I4" s="8" t="inlineStr">
        <is>
          <t>Rider Cost</t>
        </is>
      </c>
      <c r="J4" s="8" t="inlineStr">
        <is>
          <t>Payment Processing Cost</t>
        </is>
      </c>
      <c r="K4" s="8" t="inlineStr">
        <is>
          <t>Promotion Cost</t>
        </is>
      </c>
      <c r="L4" s="8" t="inlineStr">
        <is>
          <t>Refund Amount</t>
        </is>
      </c>
      <c r="M4" s="8" t="inlineStr">
        <is>
          <t>Contribution Profit</t>
        </is>
      </c>
      <c r="N4" s="8" t="inlineStr">
        <is>
          <t>Contribution Margin Pct</t>
        </is>
      </c>
    </row>
    <row r="5">
      <c r="A5" s="9" t="inlineStr">
        <is>
          <t>2025-04</t>
        </is>
      </c>
      <c r="B5" s="15" t="n">
        <v>95986.27</v>
      </c>
      <c r="C5" s="15" t="n">
        <v>6151.59</v>
      </c>
      <c r="D5" s="15" t="n">
        <v>89834.68000000001</v>
      </c>
      <c r="E5" s="15" t="n">
        <v>13727.72</v>
      </c>
      <c r="F5" s="15" t="n">
        <v>17220.19</v>
      </c>
      <c r="G5" s="15" t="n">
        <v>6132.55</v>
      </c>
      <c r="H5" s="15" t="n">
        <v>24839.56</v>
      </c>
      <c r="I5" s="15" t="n">
        <v>19993.21</v>
      </c>
      <c r="J5" s="15" t="n">
        <v>2298.25</v>
      </c>
      <c r="K5" s="15" t="n">
        <v>6151.59</v>
      </c>
      <c r="L5" s="15" t="n">
        <v>2095.13</v>
      </c>
      <c r="M5" s="15" t="n">
        <v>1500.51</v>
      </c>
      <c r="N5" s="16" t="n">
        <v>0.0604080748612294</v>
      </c>
    </row>
    <row r="6">
      <c r="A6" s="12" t="inlineStr">
        <is>
          <t>2025-05</t>
        </is>
      </c>
      <c r="B6" s="17" t="n">
        <v>103735.65</v>
      </c>
      <c r="C6" s="17" t="n">
        <v>6766.865</v>
      </c>
      <c r="D6" s="17" t="n">
        <v>96968.785</v>
      </c>
      <c r="E6" s="17" t="n">
        <v>14750.69</v>
      </c>
      <c r="F6" s="17" t="n">
        <v>18796.74</v>
      </c>
      <c r="G6" s="17" t="n">
        <v>6620.43</v>
      </c>
      <c r="H6" s="17" t="n">
        <v>26800.35</v>
      </c>
      <c r="I6" s="17" t="n">
        <v>21775.04</v>
      </c>
      <c r="J6" s="17" t="n">
        <v>2482.81</v>
      </c>
      <c r="K6" s="17" t="n">
        <v>6766.865</v>
      </c>
      <c r="L6" s="17" t="n">
        <v>2298.99</v>
      </c>
      <c r="M6" s="17" t="n">
        <v>1392.95</v>
      </c>
      <c r="N6" s="18" t="n">
        <v>0.0519750674897902</v>
      </c>
    </row>
    <row r="7">
      <c r="A7" s="9" t="inlineStr">
        <is>
          <t>2025-06</t>
        </is>
      </c>
      <c r="B7" s="15" t="n">
        <v>113510.82</v>
      </c>
      <c r="C7" s="15" t="n">
        <v>7328.66</v>
      </c>
      <c r="D7" s="15" t="n">
        <v>106182.16</v>
      </c>
      <c r="E7" s="15" t="n">
        <v>16254.96</v>
      </c>
      <c r="F7" s="15" t="n">
        <v>20451.26</v>
      </c>
      <c r="G7" s="15" t="n">
        <v>7250.76</v>
      </c>
      <c r="H7" s="15" t="n">
        <v>29581.18</v>
      </c>
      <c r="I7" s="15" t="n">
        <v>23642.06</v>
      </c>
      <c r="J7" s="15" t="n">
        <v>2718.78</v>
      </c>
      <c r="K7" s="15" t="n">
        <v>7328.66</v>
      </c>
      <c r="L7" s="15" t="n">
        <v>2164.28</v>
      </c>
      <c r="M7" s="15" t="n">
        <v>2138.24</v>
      </c>
      <c r="N7" s="16" t="n">
        <v>0.0722837966571989</v>
      </c>
    </row>
    <row r="8">
      <c r="A8" s="12" t="inlineStr">
        <is>
          <t>2025-07</t>
        </is>
      </c>
      <c r="B8" s="17" t="n">
        <v>124426.88</v>
      </c>
      <c r="C8" s="17" t="n">
        <v>8478.965</v>
      </c>
      <c r="D8" s="17" t="n">
        <v>115947.915</v>
      </c>
      <c r="E8" s="17" t="n">
        <v>17833.11</v>
      </c>
      <c r="F8" s="17" t="n">
        <v>22326.27</v>
      </c>
      <c r="G8" s="17" t="n">
        <v>7943.09</v>
      </c>
      <c r="H8" s="17" t="n">
        <v>32154.25</v>
      </c>
      <c r="I8" s="17" t="n">
        <v>25879.99</v>
      </c>
      <c r="J8" s="17" t="n">
        <v>2967.46</v>
      </c>
      <c r="K8" s="17" t="n">
        <v>8478.965</v>
      </c>
      <c r="L8" s="17" t="n">
        <v>2872.35</v>
      </c>
      <c r="M8" s="17" t="n">
        <v>1870.5</v>
      </c>
      <c r="N8" s="18" t="n">
        <v>0.058172714337918</v>
      </c>
    </row>
    <row r="9">
      <c r="A9" s="9" t="inlineStr">
        <is>
          <t>2025-08</t>
        </is>
      </c>
      <c r="B9" s="15" t="n">
        <v>131804.22</v>
      </c>
      <c r="C9" s="15" t="n">
        <v>8461.885</v>
      </c>
      <c r="D9" s="15" t="n">
        <v>123342.335</v>
      </c>
      <c r="E9" s="15" t="n">
        <v>18906.06</v>
      </c>
      <c r="F9" s="15" t="n">
        <v>23599.93</v>
      </c>
      <c r="G9" s="15" t="n">
        <v>8403.950000000001</v>
      </c>
      <c r="H9" s="15" t="n">
        <v>34068.67</v>
      </c>
      <c r="I9" s="15" t="n">
        <v>27340.84</v>
      </c>
      <c r="J9" s="15" t="n">
        <v>3148.04</v>
      </c>
      <c r="K9" s="15" t="n">
        <v>8461.885</v>
      </c>
      <c r="L9" s="15" t="n">
        <v>3001.92</v>
      </c>
      <c r="M9" s="15" t="n">
        <v>2078.87</v>
      </c>
      <c r="N9" s="16" t="n">
        <v>0.061019992855606</v>
      </c>
    </row>
    <row r="10">
      <c r="A10" s="12" t="inlineStr">
        <is>
          <t>2025-09</t>
        </is>
      </c>
      <c r="B10" s="17" t="n">
        <v>129355.66</v>
      </c>
      <c r="C10" s="17" t="n">
        <v>12916.42</v>
      </c>
      <c r="D10" s="17" t="n">
        <v>116439.24</v>
      </c>
      <c r="E10" s="17" t="n">
        <v>18640.49</v>
      </c>
      <c r="F10" s="17" t="n">
        <v>23035.35</v>
      </c>
      <c r="G10" s="17" t="n">
        <v>8252.620000000001</v>
      </c>
      <c r="H10" s="17" t="n">
        <v>33642.21</v>
      </c>
      <c r="I10" s="17" t="n">
        <v>26704.42</v>
      </c>
      <c r="J10" s="17" t="n">
        <v>3002.28</v>
      </c>
      <c r="K10" s="17" t="n">
        <v>12916.42</v>
      </c>
      <c r="L10" s="17" t="n">
        <v>2626.08</v>
      </c>
      <c r="M10" s="17" t="n">
        <v>2622.54</v>
      </c>
      <c r="N10" s="18" t="n">
        <v>0.0779538561824565</v>
      </c>
    </row>
    <row r="11">
      <c r="A11" s="9" t="inlineStr">
        <is>
          <t>2025-10</t>
        </is>
      </c>
      <c r="B11" s="15" t="n">
        <v>135839.09</v>
      </c>
      <c r="C11" s="15" t="n">
        <v>8582.9</v>
      </c>
      <c r="D11" s="15" t="n">
        <v>127256.19</v>
      </c>
      <c r="E11" s="15" t="n">
        <v>19396.18</v>
      </c>
      <c r="F11" s="15" t="n">
        <v>24533.85</v>
      </c>
      <c r="G11" s="15" t="n">
        <v>8670.85</v>
      </c>
      <c r="H11" s="15" t="n">
        <v>35054.8</v>
      </c>
      <c r="I11" s="15" t="n">
        <v>28327.06</v>
      </c>
      <c r="J11" s="15" t="n">
        <v>3255.37</v>
      </c>
      <c r="K11" s="15" t="n">
        <v>8582.9</v>
      </c>
      <c r="L11" s="15" t="n">
        <v>3198.71</v>
      </c>
      <c r="M11" s="15" t="n">
        <v>1873.02</v>
      </c>
      <c r="N11" s="16" t="n">
        <v>0.0534311991510435</v>
      </c>
    </row>
    <row r="12">
      <c r="A12" s="12" t="inlineStr">
        <is>
          <t>2025-11</t>
        </is>
      </c>
      <c r="B12" s="17" t="n">
        <v>164077.71</v>
      </c>
      <c r="C12" s="17" t="n">
        <v>10610.58</v>
      </c>
      <c r="D12" s="17" t="n">
        <v>153467.13</v>
      </c>
      <c r="E12" s="17" t="n">
        <v>23533.69</v>
      </c>
      <c r="F12" s="17" t="n">
        <v>29429.94</v>
      </c>
      <c r="G12" s="17" t="n">
        <v>10460.13</v>
      </c>
      <c r="H12" s="17" t="n">
        <v>42559.55</v>
      </c>
      <c r="I12" s="17" t="n">
        <v>33995.42</v>
      </c>
      <c r="J12" s="17" t="n">
        <v>3918.66</v>
      </c>
      <c r="K12" s="17" t="n">
        <v>10610.58</v>
      </c>
      <c r="L12" s="17" t="n">
        <v>3468.86</v>
      </c>
      <c r="M12" s="17" t="n">
        <v>2911.02</v>
      </c>
      <c r="N12" s="18" t="n">
        <v>0.0683987495168534</v>
      </c>
    </row>
    <row r="13">
      <c r="A13" s="9" t="inlineStr">
        <is>
          <t>2025-12</t>
        </is>
      </c>
      <c r="B13" s="15" t="n">
        <v>178379.38</v>
      </c>
      <c r="C13" s="15" t="n">
        <v>11478.565</v>
      </c>
      <c r="D13" s="15" t="n">
        <v>166900.815</v>
      </c>
      <c r="E13" s="15" t="n">
        <v>25536.41</v>
      </c>
      <c r="F13" s="15" t="n">
        <v>31895.13</v>
      </c>
      <c r="G13" s="15" t="n">
        <v>11382.96</v>
      </c>
      <c r="H13" s="15" t="n">
        <v>46457.13</v>
      </c>
      <c r="I13" s="15" t="n">
        <v>36881.15</v>
      </c>
      <c r="J13" s="15" t="n">
        <v>4263.44</v>
      </c>
      <c r="K13" s="15" t="n">
        <v>11478.565</v>
      </c>
      <c r="L13" s="15" t="n">
        <v>3251.01</v>
      </c>
      <c r="M13" s="15" t="n">
        <v>3687.05</v>
      </c>
      <c r="N13" s="16" t="n">
        <v>0.0793645668598124</v>
      </c>
    </row>
    <row r="14">
      <c r="A14" s="12" t="inlineStr">
        <is>
          <t>2026-01</t>
        </is>
      </c>
      <c r="B14" s="17" t="n">
        <v>136758.7</v>
      </c>
      <c r="C14" s="17" t="n">
        <v>14028.935</v>
      </c>
      <c r="D14" s="17" t="n">
        <v>122729.765</v>
      </c>
      <c r="E14" s="17" t="n">
        <v>19530.21</v>
      </c>
      <c r="F14" s="17" t="n">
        <v>24663.29</v>
      </c>
      <c r="G14" s="17" t="n">
        <v>8731.959999999999</v>
      </c>
      <c r="H14" s="17" t="n">
        <v>35412.2</v>
      </c>
      <c r="I14" s="17" t="n">
        <v>28535.53</v>
      </c>
      <c r="J14" s="17" t="n">
        <v>3174.88</v>
      </c>
      <c r="K14" s="17" t="n">
        <v>14028.935</v>
      </c>
      <c r="L14" s="17" t="n">
        <v>2963.84</v>
      </c>
      <c r="M14" s="17" t="n">
        <v>2219.89</v>
      </c>
      <c r="N14" s="18" t="n">
        <v>0.0626871530150626</v>
      </c>
    </row>
    <row r="15">
      <c r="A15" s="9" t="inlineStr">
        <is>
          <t>2026-02</t>
        </is>
      </c>
      <c r="B15" s="15" t="n">
        <v>131046.45</v>
      </c>
      <c r="C15" s="15" t="n">
        <v>13618.88</v>
      </c>
      <c r="D15" s="15" t="n">
        <v>117427.57</v>
      </c>
      <c r="E15" s="15" t="n">
        <v>18690.7</v>
      </c>
      <c r="F15" s="15" t="n">
        <v>23597.3</v>
      </c>
      <c r="G15" s="15" t="n">
        <v>8375.799999999999</v>
      </c>
      <c r="H15" s="15" t="n">
        <v>33936.04</v>
      </c>
      <c r="I15" s="15" t="n">
        <v>27335.91</v>
      </c>
      <c r="J15" s="15" t="n">
        <v>3041.66</v>
      </c>
      <c r="K15" s="15" t="n">
        <v>13618.88</v>
      </c>
      <c r="L15" s="15" t="n">
        <v>2778.67</v>
      </c>
      <c r="M15" s="15" t="n">
        <v>2169.11</v>
      </c>
      <c r="N15" s="16" t="n">
        <v>0.0639175932135865</v>
      </c>
    </row>
    <row r="16">
      <c r="A16" s="12" t="inlineStr">
        <is>
          <t>2026-03</t>
        </is>
      </c>
      <c r="B16" s="17" t="n">
        <v>158116.98</v>
      </c>
      <c r="C16" s="17" t="n">
        <v>10353.93</v>
      </c>
      <c r="D16" s="17" t="n">
        <v>147763.05</v>
      </c>
      <c r="E16" s="17" t="n">
        <v>22643.24</v>
      </c>
      <c r="F16" s="17" t="n">
        <v>28332.38</v>
      </c>
      <c r="G16" s="17" t="n">
        <v>10086.52</v>
      </c>
      <c r="H16" s="17" t="n">
        <v>40937.07</v>
      </c>
      <c r="I16" s="17" t="n">
        <v>32796.26</v>
      </c>
      <c r="J16" s="17" t="n">
        <v>3775.8</v>
      </c>
      <c r="K16" s="17" t="n">
        <v>10353.93</v>
      </c>
      <c r="L16" s="17" t="n">
        <v>3417.27</v>
      </c>
      <c r="M16" s="17" t="n">
        <v>2656.58</v>
      </c>
      <c r="N16" s="18" t="n">
        <v>0.0648942388891046</v>
      </c>
    </row>
    <row r="17">
      <c r="A17" s="9" t="inlineStr">
        <is>
          <t>2026-04</t>
        </is>
      </c>
      <c r="B17" s="15" t="n">
        <v>169169.94</v>
      </c>
      <c r="C17" s="15" t="n">
        <v>11425.035</v>
      </c>
      <c r="D17" s="15" t="n">
        <v>157744.905</v>
      </c>
      <c r="E17" s="15" t="n">
        <v>24212.6</v>
      </c>
      <c r="F17" s="15" t="n">
        <v>30327.05</v>
      </c>
      <c r="G17" s="15" t="n">
        <v>10793.85</v>
      </c>
      <c r="H17" s="15" t="n">
        <v>43709.49</v>
      </c>
      <c r="I17" s="15" t="n">
        <v>35071.55</v>
      </c>
      <c r="J17" s="15" t="n">
        <v>4033.72</v>
      </c>
      <c r="K17" s="15" t="n">
        <v>11425.035</v>
      </c>
      <c r="L17" s="15" t="n">
        <v>3823.42</v>
      </c>
      <c r="M17" s="15" t="n">
        <v>2692.49</v>
      </c>
      <c r="N17" s="16" t="n">
        <v>0.0615996663424807</v>
      </c>
    </row>
    <row r="18">
      <c r="A18" s="12" t="inlineStr">
        <is>
          <t>2026-05</t>
        </is>
      </c>
      <c r="B18" s="17" t="n">
        <v>176709.69</v>
      </c>
      <c r="C18" s="17" t="n">
        <v>11516.805</v>
      </c>
      <c r="D18" s="17" t="n">
        <v>165192.885</v>
      </c>
      <c r="E18" s="17" t="n">
        <v>25377.82</v>
      </c>
      <c r="F18" s="17" t="n">
        <v>31522.73</v>
      </c>
      <c r="G18" s="17" t="n">
        <v>11286.19</v>
      </c>
      <c r="H18" s="17" t="n">
        <v>45992.78</v>
      </c>
      <c r="I18" s="17" t="n">
        <v>36551.87</v>
      </c>
      <c r="J18" s="17" t="n">
        <v>4223.05</v>
      </c>
      <c r="K18" s="17" t="n">
        <v>11516.805</v>
      </c>
      <c r="L18" s="17" t="n">
        <v>3408.34</v>
      </c>
      <c r="M18" s="17" t="n">
        <v>3513.62</v>
      </c>
      <c r="N18" s="18" t="n">
        <v>0.0763950341771034</v>
      </c>
    </row>
    <row r="19">
      <c r="A19" s="9" t="inlineStr">
        <is>
          <t>2026-06</t>
        </is>
      </c>
      <c r="B19" s="15" t="n">
        <v>192624.92</v>
      </c>
      <c r="C19" s="15" t="n">
        <v>13019.71</v>
      </c>
      <c r="D19" s="15" t="n">
        <v>179605.21</v>
      </c>
      <c r="E19" s="15" t="n">
        <v>27576.81</v>
      </c>
      <c r="F19" s="15" t="n">
        <v>34505</v>
      </c>
      <c r="G19" s="15" t="n">
        <v>12288.8</v>
      </c>
      <c r="H19" s="15" t="n">
        <v>49917.96</v>
      </c>
      <c r="I19" s="15" t="n">
        <v>39906.4</v>
      </c>
      <c r="J19" s="15" t="n">
        <v>4592.48</v>
      </c>
      <c r="K19" s="15" t="n">
        <v>13019.71</v>
      </c>
      <c r="L19" s="15" t="n">
        <v>4047.21</v>
      </c>
      <c r="M19" s="15" t="n">
        <v>3395.47</v>
      </c>
      <c r="N19" s="16" t="n">
        <v>0.06802100887135611</v>
      </c>
    </row>
    <row r="20">
      <c r="A20" s="12" t="inlineStr">
        <is>
          <t>2026-07</t>
        </is>
      </c>
      <c r="B20" s="17" t="n">
        <v>208477.41</v>
      </c>
      <c r="C20" s="17" t="n">
        <v>13449.97</v>
      </c>
      <c r="D20" s="17" t="n">
        <v>195027.44</v>
      </c>
      <c r="E20" s="17" t="n">
        <v>29907.78</v>
      </c>
      <c r="F20" s="17" t="n">
        <v>37479.1</v>
      </c>
      <c r="G20" s="17" t="n">
        <v>13289.85</v>
      </c>
      <c r="H20" s="17" t="n">
        <v>54096.83</v>
      </c>
      <c r="I20" s="17" t="n">
        <v>43434.55</v>
      </c>
      <c r="J20" s="17" t="n">
        <v>4981.02</v>
      </c>
      <c r="K20" s="17" t="n">
        <v>13449.97</v>
      </c>
      <c r="L20" s="17" t="n">
        <v>4437.71</v>
      </c>
      <c r="M20" s="17" t="n">
        <v>3462.31</v>
      </c>
      <c r="N20" s="18" t="n">
        <v>0.0640020866287359</v>
      </c>
    </row>
    <row r="21">
      <c r="A21" s="9" t="inlineStr">
        <is>
          <t>2026-08</t>
        </is>
      </c>
      <c r="B21" s="15" t="n">
        <v>210794.65</v>
      </c>
      <c r="C21" s="15" t="n">
        <v>13700.25</v>
      </c>
      <c r="D21" s="15" t="n">
        <v>197094.4</v>
      </c>
      <c r="E21" s="15" t="n">
        <v>30233.86</v>
      </c>
      <c r="F21" s="15" t="n">
        <v>37758.74</v>
      </c>
      <c r="G21" s="15" t="n">
        <v>13455.06</v>
      </c>
      <c r="H21" s="15" t="n">
        <v>54579.2</v>
      </c>
      <c r="I21" s="15" t="n">
        <v>43705.51</v>
      </c>
      <c r="J21" s="15" t="n">
        <v>5038.21</v>
      </c>
      <c r="K21" s="15" t="n">
        <v>13700.25</v>
      </c>
      <c r="L21" s="15" t="n">
        <v>4650.26</v>
      </c>
      <c r="M21" s="15" t="n">
        <v>3510.37</v>
      </c>
      <c r="N21" s="16" t="n">
        <v>0.0643169925539399</v>
      </c>
    </row>
  </sheetData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16" customWidth="1" min="7" max="7"/>
    <col width="15" customWidth="1" min="8" max="8"/>
    <col width="21" customWidth="1" min="9" max="9"/>
    <col width="18" customWidth="1" min="10" max="10"/>
    <col width="12" customWidth="1" min="11" max="11"/>
    <col width="19" customWidth="1" min="12" max="12"/>
    <col width="25" customWidth="1" min="13" max="13"/>
    <col width="31" customWidth="1" min="14" max="14"/>
    <col width="25" customWidth="1" min="15" max="15"/>
    <col width="21" customWidth="1" min="16" max="16"/>
  </cols>
  <sheetData>
    <row r="1" ht="28" customHeight="1">
      <c r="A1" s="1" t="inlineStr">
        <is>
          <t>Unit Economics</t>
        </is>
      </c>
    </row>
    <row r="2" ht="16" customHeight="1">
      <c r="A2" s="2" t="inlineStr">
        <is>
          <t>AOV, revenue/order, variable cost/order, and contribution profit/order by city, segment, and acquisition channel</t>
        </is>
      </c>
    </row>
    <row r="4">
      <c r="A4" s="3" t="inlineStr">
        <is>
          <t>By City</t>
        </is>
      </c>
    </row>
    <row r="5">
      <c r="A5" s="8" t="inlineStr">
        <is>
          <t>City Name</t>
        </is>
      </c>
      <c r="B5" s="8" t="inlineStr">
        <is>
          <t>Orders</t>
        </is>
      </c>
      <c r="C5" s="8" t="inlineStr">
        <is>
          <t>Gmv</t>
        </is>
      </c>
      <c r="D5" s="8" t="inlineStr">
        <is>
          <t>Revenue</t>
        </is>
      </c>
      <c r="E5" s="8" t="inlineStr">
        <is>
          <t>Rider Cost</t>
        </is>
      </c>
      <c r="F5" s="8" t="inlineStr">
        <is>
          <t>Payment Processing Cost</t>
        </is>
      </c>
      <c r="G5" s="8" t="inlineStr">
        <is>
          <t>Promotion Cost</t>
        </is>
      </c>
      <c r="H5" s="8" t="inlineStr">
        <is>
          <t>Refund Amount</t>
        </is>
      </c>
      <c r="I5" s="8" t="inlineStr">
        <is>
          <t>Contribution Profit</t>
        </is>
      </c>
      <c r="J5" s="8" t="inlineStr">
        <is>
          <t>Unique Customers</t>
        </is>
      </c>
      <c r="K5" s="8" t="inlineStr">
        <is>
          <t>Aov</t>
        </is>
      </c>
      <c r="L5" s="8" t="inlineStr">
        <is>
          <t>Revenue Per Order</t>
        </is>
      </c>
      <c r="M5" s="8" t="inlineStr">
        <is>
          <t>Variable Cost Per Order</t>
        </is>
      </c>
      <c r="N5" s="8" t="inlineStr">
        <is>
          <t>Contribution Profit Per Order</t>
        </is>
      </c>
      <c r="O5" s="8" t="inlineStr">
        <is>
          <t>Contribution Margin Pct</t>
        </is>
      </c>
      <c r="P5" s="8" t="inlineStr">
        <is>
          <t>Orders Per Customer</t>
        </is>
      </c>
    </row>
    <row r="6">
      <c r="A6" s="9" t="inlineStr">
        <is>
          <t>Metroville</t>
        </is>
      </c>
      <c r="B6" s="9" t="n">
        <v>57290</v>
      </c>
      <c r="C6" s="9" t="n">
        <v>940573.48</v>
      </c>
      <c r="D6" s="9" t="n">
        <v>243724.21</v>
      </c>
      <c r="E6" s="9" t="n">
        <v>211204.34</v>
      </c>
      <c r="F6" s="9" t="n">
        <v>22340.15</v>
      </c>
      <c r="G6" s="9" t="n">
        <v>66214.155</v>
      </c>
      <c r="H6" s="9" t="n">
        <v>20474.49</v>
      </c>
      <c r="I6" s="9" t="n">
        <v>-57.83000000000007</v>
      </c>
      <c r="J6" s="9" t="n">
        <v>2751</v>
      </c>
      <c r="K6" s="15" t="n">
        <v>16.42</v>
      </c>
      <c r="L6" s="15" t="n">
        <v>4.25</v>
      </c>
      <c r="M6" s="15" t="n">
        <v>5.59</v>
      </c>
      <c r="N6" s="15" t="n">
        <v>-0</v>
      </c>
      <c r="O6" s="16" t="n">
        <v>-0.0002</v>
      </c>
      <c r="P6" s="9" t="n">
        <v>20.83</v>
      </c>
    </row>
    <row r="7">
      <c r="A7" s="12" t="inlineStr">
        <is>
          <t>Porthaven</t>
        </is>
      </c>
      <c r="B7" s="12" t="n">
        <v>40909</v>
      </c>
      <c r="C7" s="12" t="n">
        <v>667753.27</v>
      </c>
      <c r="D7" s="12" t="n">
        <v>174077.24</v>
      </c>
      <c r="E7" s="12" t="n">
        <v>131108.25</v>
      </c>
      <c r="F7" s="12" t="n">
        <v>15859.72</v>
      </c>
      <c r="G7" s="12" t="n">
        <v>48331.46</v>
      </c>
      <c r="H7" s="12" t="n">
        <v>13385.67</v>
      </c>
      <c r="I7" s="12" t="n">
        <v>20416.61</v>
      </c>
      <c r="J7" s="12" t="n">
        <v>2289</v>
      </c>
      <c r="K7" s="17" t="n">
        <v>16.32</v>
      </c>
      <c r="L7" s="17" t="n">
        <v>4.26</v>
      </c>
      <c r="M7" s="17" t="n">
        <v>5.1</v>
      </c>
      <c r="N7" s="17" t="n">
        <v>0.5</v>
      </c>
      <c r="O7" s="18" t="n">
        <v>0.1173</v>
      </c>
      <c r="P7" s="12" t="n">
        <v>17.87</v>
      </c>
    </row>
    <row r="8">
      <c r="A8" s="9" t="inlineStr">
        <is>
          <t>Rivertown</t>
        </is>
      </c>
      <c r="B8" s="9" t="n">
        <v>20689</v>
      </c>
      <c r="C8" s="9" t="n">
        <v>341705.72</v>
      </c>
      <c r="D8" s="9" t="n">
        <v>88500.33</v>
      </c>
      <c r="E8" s="9" t="n">
        <v>62395.1</v>
      </c>
      <c r="F8" s="9" t="n">
        <v>8096.18</v>
      </c>
      <c r="G8" s="9" t="n">
        <v>24518.46</v>
      </c>
      <c r="H8" s="9" t="n">
        <v>7424.36</v>
      </c>
      <c r="I8" s="9" t="n">
        <v>14296.89</v>
      </c>
      <c r="J8" s="9" t="n">
        <v>1633</v>
      </c>
      <c r="K8" s="15" t="n">
        <v>16.52</v>
      </c>
      <c r="L8" s="15" t="n">
        <v>4.28</v>
      </c>
      <c r="M8" s="15" t="n">
        <v>4.95</v>
      </c>
      <c r="N8" s="15" t="n">
        <v>0.6899999999999999</v>
      </c>
      <c r="O8" s="16" t="n">
        <v>0.1615</v>
      </c>
      <c r="P8" s="9" t="n">
        <v>12.67</v>
      </c>
    </row>
    <row r="9">
      <c r="A9" s="12" t="inlineStr">
        <is>
          <t>Lakeside City</t>
        </is>
      </c>
      <c r="B9" s="12" t="n">
        <v>16357</v>
      </c>
      <c r="C9" s="12" t="n">
        <v>262952.48</v>
      </c>
      <c r="D9" s="12" t="n">
        <v>67764.53</v>
      </c>
      <c r="E9" s="12" t="n">
        <v>60632.44</v>
      </c>
      <c r="F9" s="12" t="n">
        <v>6293.46</v>
      </c>
      <c r="G9" s="12" t="n">
        <v>17787.39</v>
      </c>
      <c r="H9" s="12" t="n">
        <v>5860.65</v>
      </c>
      <c r="I9" s="12" t="n">
        <v>-2091.62</v>
      </c>
      <c r="J9" s="12" t="n">
        <v>1434</v>
      </c>
      <c r="K9" s="17" t="n">
        <v>16.08</v>
      </c>
      <c r="L9" s="17" t="n">
        <v>4.14</v>
      </c>
      <c r="M9" s="17" t="n">
        <v>5.54</v>
      </c>
      <c r="N9" s="17" t="n">
        <v>-0.13</v>
      </c>
      <c r="O9" s="18" t="n">
        <v>-0.0309</v>
      </c>
      <c r="P9" s="12" t="n">
        <v>11.41</v>
      </c>
    </row>
    <row r="10">
      <c r="A10" s="9" t="inlineStr">
        <is>
          <t>Hillcrest</t>
        </is>
      </c>
      <c r="B10" s="9" t="n">
        <v>10347</v>
      </c>
      <c r="C10" s="9" t="n">
        <v>164307.98</v>
      </c>
      <c r="D10" s="9" t="n">
        <v>42496.86</v>
      </c>
      <c r="E10" s="9" t="n">
        <v>35550.45</v>
      </c>
      <c r="F10" s="9" t="n">
        <v>3932.24</v>
      </c>
      <c r="G10" s="9" t="n">
        <v>11788.71</v>
      </c>
      <c r="H10" s="9" t="n">
        <v>3581.68</v>
      </c>
      <c r="I10" s="9" t="n">
        <v>1223.41</v>
      </c>
      <c r="J10" s="9" t="n">
        <v>1103</v>
      </c>
      <c r="K10" s="15" t="n">
        <v>15.88</v>
      </c>
      <c r="L10" s="15" t="n">
        <v>4.11</v>
      </c>
      <c r="M10" s="15" t="n">
        <v>5.3</v>
      </c>
      <c r="N10" s="15" t="n">
        <v>0.12</v>
      </c>
      <c r="O10" s="16" t="n">
        <v>0.0288</v>
      </c>
      <c r="P10" s="9" t="n">
        <v>9.380000000000001</v>
      </c>
    </row>
    <row r="11">
      <c r="A11" s="12" t="inlineStr">
        <is>
          <t>Bayshore</t>
        </is>
      </c>
      <c r="B11" s="12" t="n">
        <v>4679</v>
      </c>
      <c r="C11" s="12" t="n">
        <v>72397.64</v>
      </c>
      <c r="D11" s="12" t="n">
        <v>18530.43</v>
      </c>
      <c r="E11" s="12" t="n">
        <v>12219.85</v>
      </c>
      <c r="F11" s="12" t="n">
        <v>1740.73</v>
      </c>
      <c r="G11" s="12" t="n">
        <v>5412.695</v>
      </c>
      <c r="H11" s="12" t="n">
        <v>1444.45</v>
      </c>
      <c r="I11" s="12" t="n">
        <v>3847.56</v>
      </c>
      <c r="J11" s="12" t="n">
        <v>756</v>
      </c>
      <c r="K11" s="17" t="n">
        <v>15.47</v>
      </c>
      <c r="L11" s="17" t="n">
        <v>3.96</v>
      </c>
      <c r="M11" s="17" t="n">
        <v>4.45</v>
      </c>
      <c r="N11" s="17" t="n">
        <v>0.82</v>
      </c>
      <c r="O11" s="18" t="n">
        <v>0.2076</v>
      </c>
      <c r="P11" s="12" t="n">
        <v>6.19</v>
      </c>
    </row>
    <row r="12">
      <c r="A12" s="9" t="inlineStr">
        <is>
          <t>Northfield</t>
        </is>
      </c>
      <c r="B12" s="9" t="n">
        <v>4261</v>
      </c>
      <c r="C12" s="9" t="n">
        <v>71587.38</v>
      </c>
      <c r="D12" s="9" t="n">
        <v>18565.96</v>
      </c>
      <c r="E12" s="9" t="n">
        <v>11842.26</v>
      </c>
      <c r="F12" s="9" t="n">
        <v>1692.3</v>
      </c>
      <c r="G12" s="9" t="n">
        <v>4938.66</v>
      </c>
      <c r="H12" s="9" t="n">
        <v>1528.99</v>
      </c>
      <c r="I12" s="9" t="n">
        <v>4266.95</v>
      </c>
      <c r="J12" s="9" t="n">
        <v>660</v>
      </c>
      <c r="K12" s="15" t="n">
        <v>16.8</v>
      </c>
      <c r="L12" s="15" t="n">
        <v>4.36</v>
      </c>
      <c r="M12" s="15" t="n">
        <v>4.69</v>
      </c>
      <c r="N12" s="15" t="n">
        <v>1</v>
      </c>
      <c r="O12" s="16" t="n">
        <v>0.2298</v>
      </c>
      <c r="P12" s="9" t="n">
        <v>6.46</v>
      </c>
    </row>
    <row r="13">
      <c r="A13" s="12" t="inlineStr">
        <is>
          <t>Sunview</t>
        </is>
      </c>
      <c r="B13" s="12" t="n">
        <v>2649</v>
      </c>
      <c r="C13" s="12" t="n">
        <v>39536.47</v>
      </c>
      <c r="D13" s="12" t="n">
        <v>10079.71</v>
      </c>
      <c r="E13" s="12" t="n">
        <v>6924.08</v>
      </c>
      <c r="F13" s="12" t="n">
        <v>961.13</v>
      </c>
      <c r="G13" s="12" t="n">
        <v>2898.415</v>
      </c>
      <c r="H13" s="12" t="n">
        <v>803.76</v>
      </c>
      <c r="I13" s="12" t="n">
        <v>1792.57</v>
      </c>
      <c r="J13" s="12" t="n">
        <v>552</v>
      </c>
      <c r="K13" s="17" t="n">
        <v>14.93</v>
      </c>
      <c r="L13" s="17" t="n">
        <v>3.81</v>
      </c>
      <c r="M13" s="17" t="n">
        <v>4.37</v>
      </c>
      <c r="N13" s="17" t="n">
        <v>0.68</v>
      </c>
      <c r="O13" s="18" t="n">
        <v>0.1778</v>
      </c>
      <c r="P13" s="12" t="n">
        <v>4.8</v>
      </c>
    </row>
    <row r="16">
      <c r="A16" s="3" t="inlineStr">
        <is>
          <t>By Customer Segment</t>
        </is>
      </c>
    </row>
    <row r="17">
      <c r="A17" s="8" t="inlineStr">
        <is>
          <t>Customer Segment</t>
        </is>
      </c>
      <c r="B17" s="8" t="inlineStr">
        <is>
          <t>Orders</t>
        </is>
      </c>
      <c r="C17" s="8" t="inlineStr">
        <is>
          <t>Gmv</t>
        </is>
      </c>
      <c r="D17" s="8" t="inlineStr">
        <is>
          <t>Revenue</t>
        </is>
      </c>
      <c r="E17" s="8" t="inlineStr">
        <is>
          <t>Rider Cost</t>
        </is>
      </c>
      <c r="F17" s="8" t="inlineStr">
        <is>
          <t>Payment Processing Cost</t>
        </is>
      </c>
      <c r="G17" s="8" t="inlineStr">
        <is>
          <t>Promotion Cost</t>
        </is>
      </c>
      <c r="H17" s="8" t="inlineStr">
        <is>
          <t>Refund Amount</t>
        </is>
      </c>
      <c r="I17" s="8" t="inlineStr">
        <is>
          <t>Contribution Profit</t>
        </is>
      </c>
      <c r="J17" s="8" t="inlineStr">
        <is>
          <t>Unique Customers</t>
        </is>
      </c>
      <c r="K17" s="8" t="inlineStr">
        <is>
          <t>Aov</t>
        </is>
      </c>
      <c r="L17" s="8" t="inlineStr">
        <is>
          <t>Revenue Per Order</t>
        </is>
      </c>
      <c r="M17" s="8" t="inlineStr">
        <is>
          <t>Variable Cost Per Order</t>
        </is>
      </c>
      <c r="N17" s="8" t="inlineStr">
        <is>
          <t>Contribution Profit Per Order</t>
        </is>
      </c>
      <c r="O17" s="8" t="inlineStr">
        <is>
          <t>Contribution Margin Pct</t>
        </is>
      </c>
      <c r="P17" s="8" t="inlineStr">
        <is>
          <t>Orders Per Customer</t>
        </is>
      </c>
    </row>
    <row r="18">
      <c r="A18" s="9" t="inlineStr">
        <is>
          <t>At Risk</t>
        </is>
      </c>
      <c r="B18" s="9" t="n">
        <v>8696</v>
      </c>
      <c r="C18" s="9" t="n">
        <v>140961.31</v>
      </c>
      <c r="D18" s="9" t="n">
        <v>36449.55</v>
      </c>
      <c r="E18" s="9" t="n">
        <v>28715.64</v>
      </c>
      <c r="F18" s="9" t="n">
        <v>3354.84</v>
      </c>
      <c r="G18" s="9" t="n">
        <v>10168.175</v>
      </c>
      <c r="H18" s="9" t="n">
        <v>3056.49</v>
      </c>
      <c r="I18" s="9" t="n">
        <v>2850.82</v>
      </c>
      <c r="J18" s="9" t="n">
        <v>1035</v>
      </c>
      <c r="K18" s="15" t="n">
        <v>16.21</v>
      </c>
      <c r="L18" s="15" t="n">
        <v>4.19</v>
      </c>
      <c r="M18" s="15" t="n">
        <v>5.21</v>
      </c>
      <c r="N18" s="15" t="n">
        <v>0.33</v>
      </c>
      <c r="O18" s="16" t="n">
        <v>0.07820000000000001</v>
      </c>
      <c r="P18" s="9" t="n">
        <v>8.4</v>
      </c>
    </row>
    <row r="19">
      <c r="A19" s="12" t="inlineStr">
        <is>
          <t>Churned</t>
        </is>
      </c>
      <c r="B19" s="12" t="n">
        <v>9299</v>
      </c>
      <c r="C19" s="12" t="n">
        <v>150025.65</v>
      </c>
      <c r="D19" s="12" t="n">
        <v>38727.46</v>
      </c>
      <c r="E19" s="12" t="n">
        <v>29925.07</v>
      </c>
      <c r="F19" s="12" t="n">
        <v>3572.84</v>
      </c>
      <c r="G19" s="12" t="n">
        <v>10942.12</v>
      </c>
      <c r="H19" s="12" t="n">
        <v>3250.51</v>
      </c>
      <c r="I19" s="12" t="n">
        <v>3604.25</v>
      </c>
      <c r="J19" s="12" t="n">
        <v>1896</v>
      </c>
      <c r="K19" s="17" t="n">
        <v>16.13</v>
      </c>
      <c r="L19" s="17" t="n">
        <v>4.16</v>
      </c>
      <c r="M19" s="17" t="n">
        <v>5.13</v>
      </c>
      <c r="N19" s="17" t="n">
        <v>0.39</v>
      </c>
      <c r="O19" s="18" t="n">
        <v>0.0931</v>
      </c>
      <c r="P19" s="12" t="n">
        <v>4.9</v>
      </c>
    </row>
    <row r="20">
      <c r="A20" s="9" t="inlineStr">
        <is>
          <t>High Value</t>
        </is>
      </c>
      <c r="B20" s="9" t="n">
        <v>16025</v>
      </c>
      <c r="C20" s="9" t="n">
        <v>275262.67</v>
      </c>
      <c r="D20" s="9" t="n">
        <v>73343.07000000001</v>
      </c>
      <c r="E20" s="9" t="n">
        <v>51501.04</v>
      </c>
      <c r="F20" s="9" t="n">
        <v>6447.46</v>
      </c>
      <c r="G20" s="9" t="n">
        <v>20267.235</v>
      </c>
      <c r="H20" s="9" t="n">
        <v>2812.51</v>
      </c>
      <c r="I20" s="9" t="n">
        <v>13988.48</v>
      </c>
      <c r="J20" s="9" t="n">
        <v>371</v>
      </c>
      <c r="K20" s="15" t="n">
        <v>17.18</v>
      </c>
      <c r="L20" s="15" t="n">
        <v>4.58</v>
      </c>
      <c r="M20" s="15" t="n">
        <v>5.06</v>
      </c>
      <c r="N20" s="15" t="n">
        <v>0.87</v>
      </c>
      <c r="O20" s="16" t="n">
        <v>0.1907</v>
      </c>
      <c r="P20" s="9" t="n">
        <v>43.19</v>
      </c>
    </row>
    <row r="21">
      <c r="A21" s="12" t="inlineStr">
        <is>
          <t>Loyal</t>
        </is>
      </c>
      <c r="B21" s="12" t="n">
        <v>85271</v>
      </c>
      <c r="C21" s="12" t="n">
        <v>1379769.52</v>
      </c>
      <c r="D21" s="12" t="n">
        <v>356097.7</v>
      </c>
      <c r="E21" s="12" t="n">
        <v>295561.62</v>
      </c>
      <c r="F21" s="12" t="n">
        <v>32890.88</v>
      </c>
      <c r="G21" s="12" t="n">
        <v>97330.825</v>
      </c>
      <c r="H21" s="12" t="n">
        <v>32057.72</v>
      </c>
      <c r="I21" s="12" t="n">
        <v>11616.07</v>
      </c>
      <c r="J21" s="12" t="n">
        <v>3889</v>
      </c>
      <c r="K21" s="17" t="n">
        <v>16.18</v>
      </c>
      <c r="L21" s="17" t="n">
        <v>4.18</v>
      </c>
      <c r="M21" s="17" t="n">
        <v>5.37</v>
      </c>
      <c r="N21" s="17" t="n">
        <v>0.14</v>
      </c>
      <c r="O21" s="18" t="n">
        <v>0.0326</v>
      </c>
      <c r="P21" s="12" t="n">
        <v>21.93</v>
      </c>
    </row>
    <row r="22">
      <c r="A22" s="9" t="inlineStr">
        <is>
          <t>New</t>
        </is>
      </c>
      <c r="B22" s="9" t="n">
        <v>131</v>
      </c>
      <c r="C22" s="9" t="n">
        <v>2144.58</v>
      </c>
      <c r="D22" s="9" t="n">
        <v>571.16</v>
      </c>
      <c r="E22" s="9" t="n">
        <v>449.88</v>
      </c>
      <c r="F22" s="9" t="n">
        <v>49.02</v>
      </c>
      <c r="G22" s="9" t="n">
        <v>253.4</v>
      </c>
      <c r="H22" s="9" t="n">
        <v>28.14</v>
      </c>
      <c r="I22" s="9" t="n">
        <v>58.19</v>
      </c>
      <c r="J22" s="9" t="n">
        <v>80</v>
      </c>
      <c r="K22" s="15" t="n">
        <v>16.37</v>
      </c>
      <c r="L22" s="15" t="n">
        <v>4.36</v>
      </c>
      <c r="M22" s="15" t="n">
        <v>5.96</v>
      </c>
      <c r="N22" s="15" t="n">
        <v>0.44</v>
      </c>
      <c r="O22" s="16" t="n">
        <v>0.1019</v>
      </c>
      <c r="P22" s="9" t="n">
        <v>1.64</v>
      </c>
    </row>
    <row r="23">
      <c r="A23" s="12" t="inlineStr">
        <is>
          <t>Occasional</t>
        </is>
      </c>
      <c r="B23" s="12" t="n">
        <v>26839</v>
      </c>
      <c r="C23" s="12" t="n">
        <v>433688.52</v>
      </c>
      <c r="D23" s="12" t="n">
        <v>112350.28</v>
      </c>
      <c r="E23" s="12" t="n">
        <v>87726.47</v>
      </c>
      <c r="F23" s="12" t="n">
        <v>10348.1</v>
      </c>
      <c r="G23" s="12" t="n">
        <v>30316.4</v>
      </c>
      <c r="H23" s="12" t="n">
        <v>9056.860000000001</v>
      </c>
      <c r="I23" s="12" t="n">
        <v>9747.309999999999</v>
      </c>
      <c r="J23" s="12" t="n">
        <v>3505</v>
      </c>
      <c r="K23" s="17" t="n">
        <v>16.16</v>
      </c>
      <c r="L23" s="17" t="n">
        <v>4.19</v>
      </c>
      <c r="M23" s="17" t="n">
        <v>5.12</v>
      </c>
      <c r="N23" s="17" t="n">
        <v>0.36</v>
      </c>
      <c r="O23" s="18" t="n">
        <v>0.0868</v>
      </c>
      <c r="P23" s="12" t="n">
        <v>7.66</v>
      </c>
    </row>
    <row r="24">
      <c r="A24" s="9" t="inlineStr">
        <is>
          <t>Price Sensitive</t>
        </is>
      </c>
      <c r="B24" s="9" t="n">
        <v>19</v>
      </c>
      <c r="C24" s="9" t="n">
        <v>320.18</v>
      </c>
      <c r="D24" s="9" t="n">
        <v>83.51000000000001</v>
      </c>
      <c r="E24" s="9" t="n">
        <v>59.6</v>
      </c>
      <c r="F24" s="9" t="n">
        <v>6.04</v>
      </c>
      <c r="G24" s="9" t="n">
        <v>101.41</v>
      </c>
      <c r="H24" s="9" t="n">
        <v>5.93</v>
      </c>
      <c r="I24" s="9" t="n">
        <v>14.9</v>
      </c>
      <c r="J24" s="9" t="n">
        <v>15</v>
      </c>
      <c r="K24" s="15" t="n">
        <v>16.85</v>
      </c>
      <c r="L24" s="15" t="n">
        <v>4.4</v>
      </c>
      <c r="M24" s="15" t="n">
        <v>9.1</v>
      </c>
      <c r="N24" s="15" t="n">
        <v>0.78</v>
      </c>
      <c r="O24" s="16" t="n">
        <v>0.1784</v>
      </c>
      <c r="P24" s="9" t="n">
        <v>1.27</v>
      </c>
    </row>
    <row r="25">
      <c r="A25" s="12" t="inlineStr">
        <is>
          <t>Subscription</t>
        </is>
      </c>
      <c r="B25" s="12" t="n">
        <v>10901</v>
      </c>
      <c r="C25" s="12" t="n">
        <v>178641.99</v>
      </c>
      <c r="D25" s="12" t="n">
        <v>46116.54</v>
      </c>
      <c r="E25" s="12" t="n">
        <v>37937.45</v>
      </c>
      <c r="F25" s="12" t="n">
        <v>4246.73</v>
      </c>
      <c r="G25" s="12" t="n">
        <v>12510.38</v>
      </c>
      <c r="H25" s="12" t="n">
        <v>4235.89</v>
      </c>
      <c r="I25" s="12" t="n">
        <v>1814.52</v>
      </c>
      <c r="J25" s="12" t="n">
        <v>387</v>
      </c>
      <c r="K25" s="17" t="n">
        <v>16.39</v>
      </c>
      <c r="L25" s="17" t="n">
        <v>4.23</v>
      </c>
      <c r="M25" s="17" t="n">
        <v>5.41</v>
      </c>
      <c r="N25" s="17" t="n">
        <v>0.17</v>
      </c>
      <c r="O25" s="18" t="n">
        <v>0.0393</v>
      </c>
      <c r="P25" s="12" t="n">
        <v>28.17</v>
      </c>
    </row>
    <row r="28">
      <c r="A28" s="3" t="inlineStr">
        <is>
          <t>By Acquisition Channel</t>
        </is>
      </c>
    </row>
    <row r="29">
      <c r="A29" s="8" t="inlineStr">
        <is>
          <t>Acquisition Channel</t>
        </is>
      </c>
      <c r="B29" s="8" t="inlineStr">
        <is>
          <t>Orders</t>
        </is>
      </c>
      <c r="C29" s="8" t="inlineStr">
        <is>
          <t>Gmv</t>
        </is>
      </c>
      <c r="D29" s="8" t="inlineStr">
        <is>
          <t>Revenue</t>
        </is>
      </c>
      <c r="E29" s="8" t="inlineStr">
        <is>
          <t>Rider Cost</t>
        </is>
      </c>
      <c r="F29" s="8" t="inlineStr">
        <is>
          <t>Payment Processing Cost</t>
        </is>
      </c>
      <c r="G29" s="8" t="inlineStr">
        <is>
          <t>Promotion Cost</t>
        </is>
      </c>
      <c r="H29" s="8" t="inlineStr">
        <is>
          <t>Refund Amount</t>
        </is>
      </c>
      <c r="I29" s="8" t="inlineStr">
        <is>
          <t>Contribution Profit</t>
        </is>
      </c>
      <c r="J29" s="8" t="inlineStr">
        <is>
          <t>Unique Customers</t>
        </is>
      </c>
      <c r="K29" s="8" t="inlineStr">
        <is>
          <t>Aov</t>
        </is>
      </c>
      <c r="L29" s="8" t="inlineStr">
        <is>
          <t>Revenue Per Order</t>
        </is>
      </c>
      <c r="M29" s="8" t="inlineStr">
        <is>
          <t>Variable Cost Per Order</t>
        </is>
      </c>
      <c r="N29" s="8" t="inlineStr">
        <is>
          <t>Contribution Profit Per Order</t>
        </is>
      </c>
      <c r="O29" s="8" t="inlineStr">
        <is>
          <t>Contribution Margin Pct</t>
        </is>
      </c>
      <c r="P29" s="8" t="inlineStr">
        <is>
          <t>Orders Per Customer</t>
        </is>
      </c>
    </row>
    <row r="30">
      <c r="A30" s="9" t="inlineStr">
        <is>
          <t>Organic/Referral</t>
        </is>
      </c>
      <c r="B30" s="9" t="n">
        <v>54020</v>
      </c>
      <c r="C30" s="9" t="n">
        <v>879379.5</v>
      </c>
      <c r="D30" s="9" t="n">
        <v>227769.52</v>
      </c>
      <c r="E30" s="9" t="n">
        <v>182538.78</v>
      </c>
      <c r="F30" s="9" t="n">
        <v>20918.71</v>
      </c>
      <c r="G30" s="9" t="n">
        <v>62666.24</v>
      </c>
      <c r="H30" s="9" t="n">
        <v>18922.35</v>
      </c>
      <c r="I30" s="9" t="n">
        <v>14850.62</v>
      </c>
      <c r="J30" s="9" t="n">
        <v>3810</v>
      </c>
      <c r="K30" s="15" t="n">
        <v>16.28</v>
      </c>
      <c r="L30" s="15" t="n">
        <v>4.22</v>
      </c>
      <c r="M30" s="15" t="n">
        <v>5.28</v>
      </c>
      <c r="N30" s="15" t="n">
        <v>0.27</v>
      </c>
      <c r="O30" s="16" t="n">
        <v>0.06519999999999999</v>
      </c>
      <c r="P30" s="9" t="n">
        <v>14.18</v>
      </c>
    </row>
    <row r="31">
      <c r="A31" s="12" t="inlineStr">
        <is>
          <t>Paid Search</t>
        </is>
      </c>
      <c r="B31" s="12" t="n">
        <v>31801</v>
      </c>
      <c r="C31" s="12" t="n">
        <v>518297.16</v>
      </c>
      <c r="D31" s="12" t="n">
        <v>134502.03</v>
      </c>
      <c r="E31" s="12" t="n">
        <v>107766.96</v>
      </c>
      <c r="F31" s="12" t="n">
        <v>12346.71</v>
      </c>
      <c r="G31" s="12" t="n">
        <v>35818.07</v>
      </c>
      <c r="H31" s="12" t="n">
        <v>10734.89</v>
      </c>
      <c r="I31" s="12" t="n">
        <v>9021.01</v>
      </c>
      <c r="J31" s="12" t="n">
        <v>2268</v>
      </c>
      <c r="K31" s="17" t="n">
        <v>16.3</v>
      </c>
      <c r="L31" s="17" t="n">
        <v>4.23</v>
      </c>
      <c r="M31" s="17" t="n">
        <v>5.24</v>
      </c>
      <c r="N31" s="17" t="n">
        <v>0.28</v>
      </c>
      <c r="O31" s="18" t="n">
        <v>0.06710000000000001</v>
      </c>
      <c r="P31" s="12" t="n">
        <v>14.02</v>
      </c>
    </row>
    <row r="32">
      <c r="A32" s="9" t="inlineStr">
        <is>
          <t>Paid Social</t>
        </is>
      </c>
      <c r="B32" s="9" t="n">
        <v>37538</v>
      </c>
      <c r="C32" s="9" t="n">
        <v>612910.47</v>
      </c>
      <c r="D32" s="9" t="n">
        <v>158845.54</v>
      </c>
      <c r="E32" s="9" t="n">
        <v>127195.74</v>
      </c>
      <c r="F32" s="9" t="n">
        <v>14553.63</v>
      </c>
      <c r="G32" s="9" t="n">
        <v>44473.365</v>
      </c>
      <c r="H32" s="9" t="n">
        <v>13109.9</v>
      </c>
      <c r="I32" s="9" t="n">
        <v>10541.45</v>
      </c>
      <c r="J32" s="9" t="n">
        <v>2681</v>
      </c>
      <c r="K32" s="15" t="n">
        <v>16.33</v>
      </c>
      <c r="L32" s="15" t="n">
        <v>4.23</v>
      </c>
      <c r="M32" s="15" t="n">
        <v>5.31</v>
      </c>
      <c r="N32" s="15" t="n">
        <v>0.28</v>
      </c>
      <c r="O32" s="16" t="n">
        <v>0.0664</v>
      </c>
      <c r="P32" s="9" t="n">
        <v>14</v>
      </c>
    </row>
    <row r="33">
      <c r="A33" s="12" t="inlineStr">
        <is>
          <t>Partnership</t>
        </is>
      </c>
      <c r="B33" s="12" t="n">
        <v>11366</v>
      </c>
      <c r="C33" s="12" t="n">
        <v>184896.47</v>
      </c>
      <c r="D33" s="12" t="n">
        <v>47775.48</v>
      </c>
      <c r="E33" s="12" t="n">
        <v>38530.43</v>
      </c>
      <c r="F33" s="12" t="n">
        <v>4404.85</v>
      </c>
      <c r="G33" s="12" t="n">
        <v>12895.115</v>
      </c>
      <c r="H33" s="12" t="n">
        <v>4275.83</v>
      </c>
      <c r="I33" s="12" t="n">
        <v>2702.22</v>
      </c>
      <c r="J33" s="12" t="n">
        <v>826</v>
      </c>
      <c r="K33" s="17" t="n">
        <v>16.27</v>
      </c>
      <c r="L33" s="17" t="n">
        <v>4.2</v>
      </c>
      <c r="M33" s="17" t="n">
        <v>5.29</v>
      </c>
      <c r="N33" s="17" t="n">
        <v>0.24</v>
      </c>
      <c r="O33" s="18" t="n">
        <v>0.0566</v>
      </c>
      <c r="P33" s="12" t="n">
        <v>13.76</v>
      </c>
    </row>
    <row r="34">
      <c r="A34" s="9" t="inlineStr">
        <is>
          <t>Push/CRM</t>
        </is>
      </c>
      <c r="B34" s="9" t="n">
        <v>22456</v>
      </c>
      <c r="C34" s="9" t="n">
        <v>365330.82</v>
      </c>
      <c r="D34" s="9" t="n">
        <v>94846.7</v>
      </c>
      <c r="E34" s="9" t="n">
        <v>75844.86</v>
      </c>
      <c r="F34" s="9" t="n">
        <v>8692.01</v>
      </c>
      <c r="G34" s="9" t="n">
        <v>26037.155</v>
      </c>
      <c r="H34" s="9" t="n">
        <v>7461.08</v>
      </c>
      <c r="I34" s="9" t="n">
        <v>6579.24</v>
      </c>
      <c r="J34" s="9" t="n">
        <v>1593</v>
      </c>
      <c r="K34" s="15" t="n">
        <v>16.27</v>
      </c>
      <c r="L34" s="15" t="n">
        <v>4.22</v>
      </c>
      <c r="M34" s="15" t="n">
        <v>5.26</v>
      </c>
      <c r="N34" s="15" t="n">
        <v>0.29</v>
      </c>
      <c r="O34" s="16" t="n">
        <v>0.0694</v>
      </c>
      <c r="P34" s="9" t="n">
        <v>14.1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20" customWidth="1" min="4" max="4"/>
    <col width="20" customWidth="1" min="5" max="5"/>
    <col width="20" customWidth="1" min="6" max="6"/>
    <col width="12" customWidth="1" min="7" max="7"/>
    <col width="20" customWidth="1" min="8" max="8"/>
    <col width="12" customWidth="1" min="9" max="9"/>
    <col width="16" customWidth="1" min="10" max="10"/>
  </cols>
  <sheetData>
    <row r="1" ht="28" customHeight="1">
      <c r="A1" s="1" t="inlineStr">
        <is>
          <t>Customer Analytics</t>
        </is>
      </c>
    </row>
    <row r="2" ht="16" customHeight="1">
      <c r="A2" s="2" t="inlineStr">
        <is>
          <t>Segmentation (rule-based on realized behavior), CAC/LTV by channel</t>
        </is>
      </c>
    </row>
    <row r="4">
      <c r="A4" s="8" t="inlineStr">
        <is>
          <t>Customer Segment</t>
        </is>
      </c>
      <c r="B4" s="8" t="inlineStr">
        <is>
          <t>Customers</t>
        </is>
      </c>
      <c r="C4" s="8" t="inlineStr">
        <is>
          <t>Avg Lifetime Profit</t>
        </is>
      </c>
    </row>
    <row r="5">
      <c r="A5" s="9" t="inlineStr">
        <is>
          <t>Loyal</t>
        </is>
      </c>
      <c r="B5" s="9" t="n">
        <v>3889</v>
      </c>
      <c r="C5" s="15" t="n">
        <v>2.99</v>
      </c>
    </row>
    <row r="6">
      <c r="A6" s="12" t="inlineStr">
        <is>
          <t>Occasional</t>
        </is>
      </c>
      <c r="B6" s="12" t="n">
        <v>3505</v>
      </c>
      <c r="C6" s="17" t="n">
        <v>2.78</v>
      </c>
    </row>
    <row r="7">
      <c r="A7" s="9" t="inlineStr">
        <is>
          <t>Churned</t>
        </is>
      </c>
      <c r="B7" s="9" t="n">
        <v>1896</v>
      </c>
      <c r="C7" s="15" t="n">
        <v>1.9</v>
      </c>
    </row>
    <row r="8">
      <c r="A8" s="12" t="inlineStr">
        <is>
          <t>At Risk</t>
        </is>
      </c>
      <c r="B8" s="12" t="n">
        <v>1035</v>
      </c>
      <c r="C8" s="17" t="n">
        <v>2.75</v>
      </c>
    </row>
    <row r="9">
      <c r="A9" s="9" t="inlineStr">
        <is>
          <t>Never Ordered</t>
        </is>
      </c>
      <c r="B9" s="9" t="n">
        <v>822</v>
      </c>
      <c r="C9" s="15" t="n">
        <v>0</v>
      </c>
    </row>
    <row r="10">
      <c r="A10" s="12" t="inlineStr">
        <is>
          <t>Subscription</t>
        </is>
      </c>
      <c r="B10" s="12" t="n">
        <v>387</v>
      </c>
      <c r="C10" s="17" t="n">
        <v>4.69</v>
      </c>
    </row>
    <row r="11">
      <c r="A11" s="9" t="inlineStr">
        <is>
          <t>High Value</t>
        </is>
      </c>
      <c r="B11" s="9" t="n">
        <v>371</v>
      </c>
      <c r="C11" s="15" t="n">
        <v>37.7</v>
      </c>
    </row>
    <row r="12">
      <c r="A12" s="12" t="inlineStr">
        <is>
          <t>New</t>
        </is>
      </c>
      <c r="B12" s="12" t="n">
        <v>80</v>
      </c>
      <c r="C12" s="17" t="n">
        <v>0.73</v>
      </c>
    </row>
    <row r="13">
      <c r="A13" s="9" t="inlineStr">
        <is>
          <t>Price Sensitive</t>
        </is>
      </c>
      <c r="B13" s="9" t="n">
        <v>15</v>
      </c>
      <c r="C13" s="15" t="n">
        <v>0.99</v>
      </c>
    </row>
    <row r="36">
      <c r="A36" s="3" t="inlineStr">
        <is>
          <t>CAC / LTV by Acquisition Channel</t>
        </is>
      </c>
    </row>
    <row r="37">
      <c r="A37" s="8" t="inlineStr">
        <is>
          <t>Acquisition Channel</t>
        </is>
      </c>
      <c r="B37" s="8" t="inlineStr">
        <is>
          <t>Customers</t>
        </is>
      </c>
      <c r="C37" s="8" t="inlineStr">
        <is>
          <t>Avg Lifetime Profit</t>
        </is>
      </c>
      <c r="D37" s="8" t="inlineStr">
        <is>
          <t>Avg Lifetime Gmv</t>
        </is>
      </c>
      <c r="E37" s="8" t="inlineStr">
        <is>
          <t>Avg Orders</t>
        </is>
      </c>
      <c r="F37" s="8" t="inlineStr">
        <is>
          <t>Churn Rate</t>
        </is>
      </c>
      <c r="G37" s="8" t="inlineStr">
        <is>
          <t>Cac</t>
        </is>
      </c>
      <c r="H37" s="8" t="inlineStr">
        <is>
          <t>Ltv</t>
        </is>
      </c>
      <c r="I37" s="8" t="inlineStr">
        <is>
          <t>Ltv To Cac</t>
        </is>
      </c>
      <c r="J37" s="8" t="inlineStr">
        <is>
          <t>Payback Orders</t>
        </is>
      </c>
    </row>
    <row r="38">
      <c r="A38" s="9" t="inlineStr">
        <is>
          <t>Organic/Referral</t>
        </is>
      </c>
      <c r="B38" s="9" t="n">
        <v>4070</v>
      </c>
      <c r="C38" s="15" t="n">
        <v>3.648800982800983</v>
      </c>
      <c r="D38" s="15" t="n">
        <v>216.0637592137592</v>
      </c>
      <c r="E38" s="9" t="n">
        <v>13.27272727272727</v>
      </c>
      <c r="F38" s="16" t="n">
        <v>0.2457002457002457</v>
      </c>
      <c r="G38" s="15" t="n">
        <v>1.5</v>
      </c>
      <c r="H38" s="15" t="n">
        <v>3.648800982800983</v>
      </c>
      <c r="I38" s="9" t="n">
        <v>2.43</v>
      </c>
      <c r="J38" s="9" t="n">
        <v>5.5</v>
      </c>
    </row>
    <row r="39">
      <c r="A39" s="12" t="inlineStr">
        <is>
          <t>Push/CRM</t>
        </is>
      </c>
      <c r="B39" s="12" t="n">
        <v>1712</v>
      </c>
      <c r="C39" s="17" t="n">
        <v>3.843014018691589</v>
      </c>
      <c r="D39" s="17" t="n">
        <v>213.3941705607477</v>
      </c>
      <c r="E39" s="12" t="n">
        <v>13.11682242990654</v>
      </c>
      <c r="F39" s="18" t="n">
        <v>0.2359813084112149</v>
      </c>
      <c r="G39" s="17" t="n">
        <v>2</v>
      </c>
      <c r="H39" s="17" t="n">
        <v>3.843014018691589</v>
      </c>
      <c r="I39" s="12" t="n">
        <v>1.92</v>
      </c>
      <c r="J39" s="12" t="n">
        <v>6.8</v>
      </c>
    </row>
    <row r="40">
      <c r="A40" s="9" t="inlineStr">
        <is>
          <t>Partnership</t>
        </is>
      </c>
      <c r="B40" s="9" t="n">
        <v>898</v>
      </c>
      <c r="C40" s="15" t="n">
        <v>3.009153674832962</v>
      </c>
      <c r="D40" s="15" t="n">
        <v>205.8980734966592</v>
      </c>
      <c r="E40" s="9" t="n">
        <v>12.65701559020045</v>
      </c>
      <c r="F40" s="16" t="n">
        <v>0.2405345211581291</v>
      </c>
      <c r="G40" s="15" t="n">
        <v>6</v>
      </c>
      <c r="H40" s="15" t="n">
        <v>3.009153674832962</v>
      </c>
      <c r="I40" s="9" t="n">
        <v>0.5</v>
      </c>
      <c r="J40" s="9" t="n">
        <v>25.2</v>
      </c>
    </row>
    <row r="41">
      <c r="A41" s="12" t="inlineStr">
        <is>
          <t>Paid Social</t>
        </is>
      </c>
      <c r="B41" s="12" t="n">
        <v>2894</v>
      </c>
      <c r="C41" s="17" t="n">
        <v>3.642519004837595</v>
      </c>
      <c r="D41" s="17" t="n">
        <v>211.7866171389081</v>
      </c>
      <c r="E41" s="12" t="n">
        <v>12.97097442985487</v>
      </c>
      <c r="F41" s="18" t="n">
        <v>0.2474084312370421</v>
      </c>
      <c r="G41" s="17" t="n">
        <v>9</v>
      </c>
      <c r="H41" s="17" t="n">
        <v>3.642519004837595</v>
      </c>
      <c r="I41" s="12" t="n">
        <v>0.4</v>
      </c>
      <c r="J41" s="12" t="n">
        <v>32</v>
      </c>
    </row>
    <row r="42">
      <c r="A42" s="9" t="inlineStr">
        <is>
          <t>Paid Search</t>
        </is>
      </c>
      <c r="B42" s="9" t="n">
        <v>2426</v>
      </c>
      <c r="C42" s="15" t="n">
        <v>3.718470733718055</v>
      </c>
      <c r="D42" s="15" t="n">
        <v>213.6426875515252</v>
      </c>
      <c r="E42" s="9" t="n">
        <v>13.10840890354493</v>
      </c>
      <c r="F42" s="16" t="n">
        <v>0.2452596867271228</v>
      </c>
      <c r="G42" s="15" t="n">
        <v>11.5</v>
      </c>
      <c r="H42" s="15" t="n">
        <v>3.718470733718055</v>
      </c>
      <c r="I42" s="9" t="n">
        <v>0.32</v>
      </c>
      <c r="J42" s="9" t="n">
        <v>40.5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Monthly Retention Cohorts</t>
        </is>
      </c>
    </row>
    <row r="2" ht="16" customHeight="1">
      <c r="A2" s="2" t="inlineStr">
        <is>
          <t>Share of each signup cohort still ordering N months later</t>
        </is>
      </c>
    </row>
    <row r="4">
      <c r="A4" s="8" t="inlineStr">
        <is>
          <t>Cohort Month</t>
        </is>
      </c>
      <c r="B4" s="8" t="inlineStr">
        <is>
          <t>M0</t>
        </is>
      </c>
      <c r="C4" s="8" t="inlineStr">
        <is>
          <t>M1</t>
        </is>
      </c>
      <c r="D4" s="8" t="inlineStr">
        <is>
          <t>M2</t>
        </is>
      </c>
      <c r="E4" s="8" t="inlineStr">
        <is>
          <t>M3</t>
        </is>
      </c>
      <c r="F4" s="8" t="inlineStr">
        <is>
          <t>M4</t>
        </is>
      </c>
      <c r="G4" s="8" t="inlineStr">
        <is>
          <t>M5</t>
        </is>
      </c>
      <c r="H4" s="8" t="inlineStr">
        <is>
          <t>M6</t>
        </is>
      </c>
      <c r="I4" s="8" t="inlineStr">
        <is>
          <t>M7</t>
        </is>
      </c>
      <c r="J4" s="8" t="inlineStr">
        <is>
          <t>M8</t>
        </is>
      </c>
      <c r="K4" s="8" t="inlineStr">
        <is>
          <t>M9</t>
        </is>
      </c>
      <c r="L4" s="8" t="inlineStr">
        <is>
          <t>M10</t>
        </is>
      </c>
      <c r="M4" s="8" t="inlineStr">
        <is>
          <t>M11</t>
        </is>
      </c>
      <c r="N4" s="8" t="inlineStr">
        <is>
          <t>M12</t>
        </is>
      </c>
    </row>
    <row r="5">
      <c r="A5" s="9" t="inlineStr">
        <is>
          <t>2024-04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>
        <v>0.4968</v>
      </c>
    </row>
    <row r="6">
      <c r="A6" s="12" t="inlineStr">
        <is>
          <t>2024-05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>
        <v>0.4957</v>
      </c>
      <c r="N6" s="18" t="n">
        <v>0.4761</v>
      </c>
    </row>
    <row r="7">
      <c r="A7" s="9" t="inlineStr">
        <is>
          <t>2024-06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>
        <v>0.5043</v>
      </c>
      <c r="M7" s="16" t="n">
        <v>0.5433</v>
      </c>
      <c r="N7" s="16" t="n">
        <v>0.539</v>
      </c>
    </row>
    <row r="8">
      <c r="A8" s="12" t="inlineStr">
        <is>
          <t>2024-07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>
        <v>0.4716</v>
      </c>
      <c r="L8" s="18" t="n">
        <v>0.5284</v>
      </c>
      <c r="M8" s="18" t="n">
        <v>0.4858</v>
      </c>
      <c r="N8" s="18" t="n">
        <v>0.4953</v>
      </c>
    </row>
    <row r="9">
      <c r="A9" s="9" t="inlineStr">
        <is>
          <t>2024-08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>
        <v>0.5188</v>
      </c>
      <c r="K9" s="16" t="n">
        <v>0.5322</v>
      </c>
      <c r="L9" s="16" t="n">
        <v>0.4945</v>
      </c>
      <c r="M9" s="16" t="n">
        <v>0.5144</v>
      </c>
      <c r="N9" s="16" t="n">
        <v>0.5188</v>
      </c>
    </row>
    <row r="10">
      <c r="A10" s="12" t="inlineStr">
        <is>
          <t>2024-09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>
        <v>0.4906</v>
      </c>
      <c r="J10" s="18" t="n">
        <v>0.5047</v>
      </c>
      <c r="K10" s="18" t="n">
        <v>0.4764</v>
      </c>
      <c r="L10" s="18" t="n">
        <v>0.5259</v>
      </c>
      <c r="M10" s="18" t="n">
        <v>0.5165</v>
      </c>
      <c r="N10" s="18" t="n">
        <v>0.4599</v>
      </c>
    </row>
    <row r="11">
      <c r="A11" s="9" t="inlineStr">
        <is>
          <t>2024-10</t>
        </is>
      </c>
      <c r="B11" s="16" t="n"/>
      <c r="C11" s="16" t="n"/>
      <c r="D11" s="16" t="n"/>
      <c r="E11" s="16" t="n"/>
      <c r="F11" s="16" t="n"/>
      <c r="G11" s="16" t="n"/>
      <c r="H11" s="16" t="n">
        <v>0.5</v>
      </c>
      <c r="I11" s="16" t="n">
        <v>0.5283</v>
      </c>
      <c r="J11" s="16" t="n">
        <v>0.5587</v>
      </c>
      <c r="K11" s="16" t="n">
        <v>0.5174</v>
      </c>
      <c r="L11" s="16" t="n">
        <v>0.5348000000000001</v>
      </c>
      <c r="M11" s="16" t="n">
        <v>0.5087</v>
      </c>
      <c r="N11" s="16" t="n">
        <v>0.5087</v>
      </c>
    </row>
    <row r="12">
      <c r="A12" s="12" t="inlineStr">
        <is>
          <t>2024-11</t>
        </is>
      </c>
      <c r="B12" s="18" t="n"/>
      <c r="C12" s="18" t="n"/>
      <c r="D12" s="18" t="n"/>
      <c r="E12" s="18" t="n"/>
      <c r="F12" s="18" t="n"/>
      <c r="G12" s="18" t="n">
        <v>0.5495</v>
      </c>
      <c r="H12" s="18" t="n">
        <v>0.536</v>
      </c>
      <c r="I12" s="18" t="n">
        <v>0.536</v>
      </c>
      <c r="J12" s="18" t="n">
        <v>0.536</v>
      </c>
      <c r="K12" s="18" t="n">
        <v>0.527</v>
      </c>
      <c r="L12" s="18" t="n">
        <v>0.5113</v>
      </c>
      <c r="M12" s="18" t="n">
        <v>0.5676</v>
      </c>
      <c r="N12" s="18" t="n">
        <v>0.5631</v>
      </c>
    </row>
    <row r="13">
      <c r="A13" s="9" t="inlineStr">
        <is>
          <t>2024-12</t>
        </is>
      </c>
      <c r="B13" s="16" t="n"/>
      <c r="C13" s="16" t="n"/>
      <c r="D13" s="16" t="n"/>
      <c r="E13" s="16" t="n"/>
      <c r="F13" s="16" t="n">
        <v>0.5915</v>
      </c>
      <c r="G13" s="16" t="n">
        <v>0.5752</v>
      </c>
      <c r="H13" s="16" t="n">
        <v>0.5976</v>
      </c>
      <c r="I13" s="16" t="n">
        <v>0.5183</v>
      </c>
      <c r="J13" s="16" t="n">
        <v>0.5935</v>
      </c>
      <c r="K13" s="16" t="n">
        <v>0.5346</v>
      </c>
      <c r="L13" s="16" t="n">
        <v>0.5183</v>
      </c>
      <c r="M13" s="16" t="n">
        <v>0.5508</v>
      </c>
      <c r="N13" s="16" t="n">
        <v>0.5508</v>
      </c>
    </row>
    <row r="14">
      <c r="A14" s="12" t="inlineStr">
        <is>
          <t>2025-01</t>
        </is>
      </c>
      <c r="B14" s="18" t="n"/>
      <c r="C14" s="18" t="n"/>
      <c r="D14" s="18" t="n"/>
      <c r="E14" s="18" t="n">
        <v>0.5387999999999999</v>
      </c>
      <c r="F14" s="18" t="n">
        <v>0.5639</v>
      </c>
      <c r="G14" s="18" t="n">
        <v>0.5822000000000001</v>
      </c>
      <c r="H14" s="18" t="n">
        <v>0.5502</v>
      </c>
      <c r="I14" s="18" t="n">
        <v>0.5251</v>
      </c>
      <c r="J14" s="18" t="n">
        <v>0.4954</v>
      </c>
      <c r="K14" s="18" t="n">
        <v>0.5046</v>
      </c>
      <c r="L14" s="18" t="n">
        <v>0.5776</v>
      </c>
      <c r="M14" s="18" t="n">
        <v>0.5411</v>
      </c>
      <c r="N14" s="18" t="n">
        <v>0.4315</v>
      </c>
    </row>
    <row r="15">
      <c r="A15" s="9" t="inlineStr">
        <is>
          <t>2025-02</t>
        </is>
      </c>
      <c r="B15" s="16" t="n"/>
      <c r="C15" s="16" t="n"/>
      <c r="D15" s="16" t="n">
        <v>0.4873</v>
      </c>
      <c r="E15" s="16" t="n">
        <v>0.5127</v>
      </c>
      <c r="F15" s="16" t="n">
        <v>0.5497</v>
      </c>
      <c r="G15" s="16" t="n">
        <v>0.5266</v>
      </c>
      <c r="H15" s="16" t="n">
        <v>0.5335</v>
      </c>
      <c r="I15" s="16" t="n">
        <v>0.5081</v>
      </c>
      <c r="J15" s="16" t="n">
        <v>0.5127</v>
      </c>
      <c r="K15" s="16" t="n">
        <v>0.5543</v>
      </c>
      <c r="L15" s="16" t="n">
        <v>0.5543</v>
      </c>
      <c r="M15" s="16" t="n">
        <v>0.4873</v>
      </c>
      <c r="N15" s="16" t="n">
        <v>0.4365</v>
      </c>
    </row>
    <row r="16">
      <c r="A16" s="12" t="inlineStr">
        <is>
          <t>2025-03</t>
        </is>
      </c>
      <c r="B16" s="18" t="n"/>
      <c r="C16" s="18" t="n">
        <v>0.4078</v>
      </c>
      <c r="D16" s="18" t="n">
        <v>0.5358000000000001</v>
      </c>
      <c r="E16" s="18" t="n">
        <v>0.5727</v>
      </c>
      <c r="F16" s="18" t="n">
        <v>0.5488</v>
      </c>
      <c r="G16" s="18" t="n">
        <v>0.5401</v>
      </c>
      <c r="H16" s="18" t="n">
        <v>0.5206</v>
      </c>
      <c r="I16" s="18" t="n">
        <v>0.5163</v>
      </c>
      <c r="J16" s="18" t="n">
        <v>0.5857</v>
      </c>
      <c r="K16" s="18" t="n">
        <v>0.59</v>
      </c>
      <c r="L16" s="18" t="n">
        <v>0.4902</v>
      </c>
      <c r="M16" s="18" t="n">
        <v>0.4534</v>
      </c>
      <c r="N16" s="18" t="n">
        <v>0.4707</v>
      </c>
    </row>
    <row r="17">
      <c r="A17" s="9" t="inlineStr">
        <is>
          <t>2025-04</t>
        </is>
      </c>
      <c r="B17" s="16" t="n">
        <v>0.3039</v>
      </c>
      <c r="C17" s="16" t="n">
        <v>0.4254</v>
      </c>
      <c r="D17" s="16" t="n">
        <v>0.5221</v>
      </c>
      <c r="E17" s="16" t="n">
        <v>0.5911999999999999</v>
      </c>
      <c r="F17" s="16" t="n">
        <v>0.6215000000000001</v>
      </c>
      <c r="G17" s="16" t="n">
        <v>0.5497</v>
      </c>
      <c r="H17" s="16" t="n">
        <v>0.5497</v>
      </c>
      <c r="I17" s="16" t="n">
        <v>0.605</v>
      </c>
      <c r="J17" s="16" t="n">
        <v>0.5442</v>
      </c>
      <c r="K17" s="16" t="n">
        <v>0.4917</v>
      </c>
      <c r="L17" s="16" t="n">
        <v>0.5083</v>
      </c>
      <c r="M17" s="16" t="n">
        <v>0.4917</v>
      </c>
      <c r="N17" s="16" t="n">
        <v>0.5359</v>
      </c>
    </row>
    <row r="18">
      <c r="A18" s="12" t="inlineStr">
        <is>
          <t>2025-05</t>
        </is>
      </c>
      <c r="B18" s="18" t="n">
        <v>0.3172</v>
      </c>
      <c r="C18" s="18" t="n">
        <v>0.4621</v>
      </c>
      <c r="D18" s="18" t="n">
        <v>0.5356</v>
      </c>
      <c r="E18" s="18" t="n">
        <v>0.5954</v>
      </c>
      <c r="F18" s="18" t="n">
        <v>0.5747</v>
      </c>
      <c r="G18" s="18" t="n">
        <v>0.5632</v>
      </c>
      <c r="H18" s="18" t="n">
        <v>0.6183999999999999</v>
      </c>
      <c r="I18" s="18" t="n">
        <v>0.5977</v>
      </c>
      <c r="J18" s="18" t="n">
        <v>0.5034</v>
      </c>
      <c r="K18" s="18" t="n">
        <v>0.4736</v>
      </c>
      <c r="L18" s="18" t="n">
        <v>0.5103</v>
      </c>
      <c r="M18" s="18" t="n">
        <v>0.577</v>
      </c>
      <c r="N18" s="18" t="n">
        <v>0.5286999999999999</v>
      </c>
    </row>
    <row r="19">
      <c r="A19" s="9" t="inlineStr">
        <is>
          <t>2025-06</t>
        </is>
      </c>
      <c r="B19" s="16" t="n">
        <v>0.3107</v>
      </c>
      <c r="C19" s="16" t="n">
        <v>0.4648</v>
      </c>
      <c r="D19" s="16" t="n">
        <v>0.5405</v>
      </c>
      <c r="E19" s="16" t="n">
        <v>0.5614</v>
      </c>
      <c r="F19" s="16" t="n">
        <v>0.5405</v>
      </c>
      <c r="G19" s="16" t="n">
        <v>0.6188</v>
      </c>
      <c r="H19" s="16" t="n">
        <v>0.6397</v>
      </c>
      <c r="I19" s="16" t="n">
        <v>0.5222</v>
      </c>
      <c r="J19" s="16" t="n">
        <v>0.5326</v>
      </c>
      <c r="K19" s="16" t="n">
        <v>0.5666</v>
      </c>
      <c r="L19" s="16" t="n">
        <v>0.5274</v>
      </c>
      <c r="M19" s="16" t="n">
        <v>0.5405</v>
      </c>
      <c r="N19" s="16" t="n">
        <v>0.5587</v>
      </c>
    </row>
    <row r="20">
      <c r="A20" s="12" t="inlineStr">
        <is>
          <t>2025-07</t>
        </is>
      </c>
      <c r="B20" s="18" t="n">
        <v>0.3181</v>
      </c>
      <c r="C20" s="18" t="n">
        <v>0.4313</v>
      </c>
      <c r="D20" s="18" t="n">
        <v>0.5397999999999999</v>
      </c>
      <c r="E20" s="18" t="n">
        <v>0.5904</v>
      </c>
      <c r="F20" s="18" t="n">
        <v>0.6313</v>
      </c>
      <c r="G20" s="18" t="n">
        <v>0.5783</v>
      </c>
      <c r="H20" s="18" t="n">
        <v>0.5349</v>
      </c>
      <c r="I20" s="18" t="n">
        <v>0.4819</v>
      </c>
      <c r="J20" s="18" t="n">
        <v>0.5133</v>
      </c>
      <c r="K20" s="18" t="n">
        <v>0.5133</v>
      </c>
      <c r="L20" s="18" t="n">
        <v>0.5276999999999999</v>
      </c>
      <c r="M20" s="18" t="n">
        <v>0.5590000000000001</v>
      </c>
      <c r="N20" s="18" t="n">
        <v>0.5301</v>
      </c>
    </row>
    <row r="21">
      <c r="A21" s="9" t="inlineStr">
        <is>
          <t>2025-08</t>
        </is>
      </c>
      <c r="B21" s="16" t="n">
        <v>0.2768</v>
      </c>
      <c r="C21" s="16" t="n">
        <v>0.4282</v>
      </c>
      <c r="D21" s="16" t="n">
        <v>0.5196</v>
      </c>
      <c r="E21" s="16" t="n">
        <v>0.6136</v>
      </c>
      <c r="F21" s="16" t="n">
        <v>0.6266</v>
      </c>
      <c r="G21" s="16" t="n">
        <v>0.5196</v>
      </c>
      <c r="H21" s="16" t="n">
        <v>0.4856</v>
      </c>
      <c r="I21" s="16" t="n">
        <v>0.5274</v>
      </c>
      <c r="J21" s="16" t="n">
        <v>0.5065</v>
      </c>
      <c r="K21" s="16" t="n">
        <v>0.5379</v>
      </c>
      <c r="L21" s="16" t="n">
        <v>0.5222</v>
      </c>
      <c r="M21" s="16" t="n">
        <v>0.5196</v>
      </c>
      <c r="N21" s="16" t="n">
        <v>0.53</v>
      </c>
    </row>
    <row r="22">
      <c r="A22" s="12" t="inlineStr">
        <is>
          <t>2025-09</t>
        </is>
      </c>
      <c r="B22" s="18" t="n">
        <v>0.3142</v>
      </c>
      <c r="C22" s="18" t="n">
        <v>0.4713</v>
      </c>
      <c r="D22" s="18" t="n">
        <v>0.6085</v>
      </c>
      <c r="E22" s="18" t="n">
        <v>0.6758</v>
      </c>
      <c r="F22" s="18" t="n">
        <v>0.5760999999999999</v>
      </c>
      <c r="G22" s="18" t="n">
        <v>0.5411</v>
      </c>
      <c r="H22" s="18" t="n">
        <v>0.5187</v>
      </c>
      <c r="I22" s="18" t="n">
        <v>0.5337</v>
      </c>
      <c r="J22" s="18" t="n">
        <v>0.5212</v>
      </c>
      <c r="K22" s="18" t="n">
        <v>0.5636</v>
      </c>
      <c r="L22" s="18" t="n">
        <v>0.5511</v>
      </c>
      <c r="M22" s="18" t="n">
        <v>0.5686</v>
      </c>
      <c r="N22" s="18" t="n"/>
    </row>
    <row r="23">
      <c r="A23" s="9" t="inlineStr">
        <is>
          <t>2025-10</t>
        </is>
      </c>
      <c r="B23" s="16" t="n">
        <v>0.2701</v>
      </c>
      <c r="C23" s="16" t="n">
        <v>0.4597</v>
      </c>
      <c r="D23" s="16" t="n">
        <v>0.587</v>
      </c>
      <c r="E23" s="16" t="n">
        <v>0.5429</v>
      </c>
      <c r="F23" s="16" t="n">
        <v>0.4935</v>
      </c>
      <c r="G23" s="16" t="n">
        <v>0.5974</v>
      </c>
      <c r="H23" s="16" t="n">
        <v>0.5377</v>
      </c>
      <c r="I23" s="16" t="n">
        <v>0.5429</v>
      </c>
      <c r="J23" s="16" t="n">
        <v>0.5818</v>
      </c>
      <c r="K23" s="16" t="n">
        <v>0.5403</v>
      </c>
      <c r="L23" s="16" t="n">
        <v>0.5299</v>
      </c>
      <c r="M23" s="16" t="n"/>
      <c r="N23" s="16" t="n"/>
    </row>
    <row r="24">
      <c r="A24" s="12" t="inlineStr">
        <is>
          <t>2025-11</t>
        </is>
      </c>
      <c r="B24" s="18" t="n">
        <v>0.3128</v>
      </c>
      <c r="C24" s="18" t="n">
        <v>0.5027</v>
      </c>
      <c r="D24" s="18" t="n">
        <v>0.5214</v>
      </c>
      <c r="E24" s="18" t="n">
        <v>0.5053</v>
      </c>
      <c r="F24" s="18" t="n">
        <v>0.6096</v>
      </c>
      <c r="G24" s="18" t="n">
        <v>0.5989</v>
      </c>
      <c r="H24" s="18" t="n">
        <v>0.5401</v>
      </c>
      <c r="I24" s="18" t="n">
        <v>0.5909</v>
      </c>
      <c r="J24" s="18" t="n">
        <v>0.5749</v>
      </c>
      <c r="K24" s="18" t="n">
        <v>0.5775</v>
      </c>
      <c r="L24" s="18" t="n"/>
      <c r="M24" s="18" t="n"/>
      <c r="N24" s="18" t="n"/>
    </row>
    <row r="25">
      <c r="A25" s="9" t="inlineStr">
        <is>
          <t>2025-12</t>
        </is>
      </c>
      <c r="B25" s="16" t="n">
        <v>0.3155</v>
      </c>
      <c r="C25" s="16" t="n">
        <v>0.3898</v>
      </c>
      <c r="D25" s="16" t="n">
        <v>0.4617</v>
      </c>
      <c r="E25" s="16" t="n">
        <v>0.5128</v>
      </c>
      <c r="F25" s="16" t="n">
        <v>0.5824</v>
      </c>
      <c r="G25" s="16" t="n">
        <v>0.5615</v>
      </c>
      <c r="H25" s="16" t="n">
        <v>0.5522</v>
      </c>
      <c r="I25" s="16" t="n">
        <v>0.5708</v>
      </c>
      <c r="J25" s="16" t="n">
        <v>0.5522</v>
      </c>
      <c r="K25" s="16" t="n"/>
      <c r="L25" s="16" t="n"/>
      <c r="M25" s="16" t="n"/>
      <c r="N25" s="16" t="n"/>
    </row>
    <row r="26">
      <c r="A26" s="12" t="inlineStr">
        <is>
          <t>2026-01</t>
        </is>
      </c>
      <c r="B26" s="18" t="n">
        <v>0.267</v>
      </c>
      <c r="C26" s="18" t="n">
        <v>0.398</v>
      </c>
      <c r="D26" s="18" t="n">
        <v>0.5441</v>
      </c>
      <c r="E26" s="18" t="n">
        <v>0.5642</v>
      </c>
      <c r="F26" s="18" t="n">
        <v>0.5768</v>
      </c>
      <c r="G26" s="18" t="n">
        <v>0.6322</v>
      </c>
      <c r="H26" s="18" t="n">
        <v>0.5945</v>
      </c>
      <c r="I26" s="18" t="n">
        <v>0.5945</v>
      </c>
      <c r="J26" s="18" t="n"/>
      <c r="K26" s="18" t="n"/>
      <c r="L26" s="18" t="n"/>
      <c r="M26" s="18" t="n"/>
      <c r="N26" s="18" t="n"/>
    </row>
    <row r="27">
      <c r="A27" s="9" t="inlineStr">
        <is>
          <t>2026-02</t>
        </is>
      </c>
      <c r="B27" s="16" t="n">
        <v>0.2963</v>
      </c>
      <c r="C27" s="16" t="n">
        <v>0.4365</v>
      </c>
      <c r="D27" s="16" t="n">
        <v>0.5926</v>
      </c>
      <c r="E27" s="16" t="n">
        <v>0.6296</v>
      </c>
      <c r="F27" s="16" t="n">
        <v>0.6138</v>
      </c>
      <c r="G27" s="16" t="n">
        <v>0.6375999999999999</v>
      </c>
      <c r="H27" s="16" t="n">
        <v>0.6085</v>
      </c>
      <c r="I27" s="16" t="n"/>
      <c r="J27" s="16" t="n"/>
      <c r="K27" s="16" t="n"/>
      <c r="L27" s="16" t="n"/>
      <c r="M27" s="16" t="n"/>
      <c r="N27" s="16" t="n"/>
    </row>
    <row r="28">
      <c r="A28" s="12" t="inlineStr">
        <is>
          <t>2026-03</t>
        </is>
      </c>
      <c r="B28" s="18" t="n">
        <v>0.3367</v>
      </c>
      <c r="C28" s="18" t="n">
        <v>0.4095</v>
      </c>
      <c r="D28" s="18" t="n">
        <v>0.5452</v>
      </c>
      <c r="E28" s="18" t="n">
        <v>0.5879</v>
      </c>
      <c r="F28" s="18" t="n">
        <v>0.5905</v>
      </c>
      <c r="G28" s="18" t="n">
        <v>0.5704</v>
      </c>
      <c r="H28" s="18" t="n"/>
      <c r="I28" s="18" t="n"/>
      <c r="J28" s="18" t="n"/>
      <c r="K28" s="18" t="n"/>
      <c r="L28" s="18" t="n"/>
      <c r="M28" s="18" t="n"/>
      <c r="N28" s="18" t="n"/>
    </row>
    <row r="29">
      <c r="A29" s="9" t="inlineStr">
        <is>
          <t>2026-04</t>
        </is>
      </c>
      <c r="B29" s="16" t="n">
        <v>0.3215</v>
      </c>
      <c r="C29" s="16" t="n">
        <v>0.4633</v>
      </c>
      <c r="D29" s="16" t="n">
        <v>0.5646</v>
      </c>
      <c r="E29" s="16" t="n">
        <v>0.6</v>
      </c>
      <c r="F29" s="16" t="n">
        <v>0.5772</v>
      </c>
      <c r="G29" s="16" t="n"/>
      <c r="H29" s="16" t="n"/>
      <c r="I29" s="16" t="n"/>
      <c r="J29" s="16" t="n"/>
      <c r="K29" s="16" t="n"/>
      <c r="L29" s="16" t="n"/>
      <c r="M29" s="16" t="n"/>
      <c r="N29" s="16" t="n"/>
    </row>
    <row r="30">
      <c r="A30" s="12" t="inlineStr">
        <is>
          <t>2026-05</t>
        </is>
      </c>
      <c r="B30" s="18" t="n">
        <v>0.3187</v>
      </c>
      <c r="C30" s="18" t="n">
        <v>0.487</v>
      </c>
      <c r="D30" s="18" t="n">
        <v>0.5984</v>
      </c>
      <c r="E30" s="18" t="n">
        <v>0.614</v>
      </c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</row>
    <row r="31">
      <c r="A31" s="9" t="inlineStr">
        <is>
          <t>2026-06</t>
        </is>
      </c>
      <c r="B31" s="16" t="n">
        <v>0.3564</v>
      </c>
      <c r="C31" s="16" t="n">
        <v>0.484</v>
      </c>
      <c r="D31" s="16" t="n">
        <v>0.6037</v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</row>
    <row r="32">
      <c r="A32" s="12" t="inlineStr">
        <is>
          <t>2026-07</t>
        </is>
      </c>
      <c r="B32" s="18" t="n">
        <v>0.3939</v>
      </c>
      <c r="C32" s="18" t="n">
        <v>0.4874</v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</row>
    <row r="33">
      <c r="A33" s="9" t="inlineStr">
        <is>
          <t>2026-08</t>
        </is>
      </c>
      <c r="B33" s="16" t="n">
        <v>0.3287</v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</row>
  </sheetData>
  <mergeCells count="2">
    <mergeCell ref="A2:N2"/>
    <mergeCell ref="A1:N1"/>
  </mergeCells>
  <conditionalFormatting sqref="B5:N3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7" customWidth="1" min="3" max="3"/>
    <col width="12" customWidth="1" min="4" max="4"/>
    <col width="16" customWidth="1" min="5" max="5"/>
    <col width="13" customWidth="1" min="6" max="6"/>
    <col width="21" customWidth="1" min="7" max="7"/>
    <col width="20" customWidth="1" min="8" max="8"/>
    <col width="34" customWidth="1" min="9" max="9"/>
  </cols>
  <sheetData>
    <row r="1" ht="28" customHeight="1">
      <c r="A1" s="1" t="inlineStr">
        <is>
          <t>Restaurant Performance</t>
        </is>
      </c>
    </row>
    <row r="2" ht="16" customHeight="1">
      <c r="A2" s="2" t="inlineStr">
        <is>
          <t>Revenue vs. margin quadrant classification</t>
        </is>
      </c>
    </row>
    <row r="4">
      <c r="A4" s="8" t="inlineStr">
        <is>
          <t>Quadrant</t>
        </is>
      </c>
      <c r="B4" s="8" t="inlineStr">
        <is>
          <t>Restaurants</t>
        </is>
      </c>
    </row>
    <row r="5">
      <c r="A5" s="9" t="inlineStr">
        <is>
          <t>Volume Trap: High Revenue / Low Margin</t>
        </is>
      </c>
      <c r="B5" s="9" t="n">
        <v>86</v>
      </c>
    </row>
    <row r="6">
      <c r="A6" s="12" t="inlineStr">
        <is>
          <t>Niche Profit: Low Revenue / High Margin</t>
        </is>
      </c>
      <c r="B6" s="12" t="n">
        <v>86</v>
      </c>
    </row>
    <row r="7">
      <c r="A7" s="9" t="inlineStr">
        <is>
          <t>Star: High Revenue / High Margin</t>
        </is>
      </c>
      <c r="B7" s="9" t="n">
        <v>67</v>
      </c>
    </row>
    <row r="8">
      <c r="A8" s="12" t="inlineStr">
        <is>
          <t>Review: Low Revenue / Low Margin</t>
        </is>
      </c>
      <c r="B8" s="12" t="n">
        <v>66</v>
      </c>
    </row>
    <row r="31">
      <c r="A31" s="3" t="inlineStr">
        <is>
          <t>Top 20 Restaurants by Contribution Profit</t>
        </is>
      </c>
    </row>
    <row r="32">
      <c r="A32" s="8" t="inlineStr">
        <is>
          <t>Restaurant Name</t>
        </is>
      </c>
      <c r="B32" s="8" t="inlineStr">
        <is>
          <t>Cuisine</t>
        </is>
      </c>
      <c r="C32" s="8" t="inlineStr">
        <is>
          <t>Restaurant Tier</t>
        </is>
      </c>
      <c r="D32" s="8" t="inlineStr">
        <is>
          <t>City Id</t>
        </is>
      </c>
      <c r="E32" s="8" t="inlineStr">
        <is>
          <t>Monthly Orders</t>
        </is>
      </c>
      <c r="F32" s="8" t="inlineStr">
        <is>
          <t>Monthly Gmv</t>
        </is>
      </c>
      <c r="G32" s="8" t="inlineStr">
        <is>
          <t>Contribution Profit</t>
        </is>
      </c>
      <c r="H32" s="8" t="inlineStr">
        <is>
          <t>Margin Pct</t>
        </is>
      </c>
      <c r="I32" s="8" t="inlineStr">
        <is>
          <t>Quadrant</t>
        </is>
      </c>
    </row>
    <row r="33">
      <c r="A33" s="9" t="inlineStr">
        <is>
          <t>Sandwiches House #257</t>
        </is>
      </c>
      <c r="B33" s="9" t="inlineStr">
        <is>
          <t>Sandwiches</t>
        </is>
      </c>
      <c r="C33" s="9" t="inlineStr">
        <is>
          <t>Premium</t>
        </is>
      </c>
      <c r="D33" s="9" t="n">
        <v>1</v>
      </c>
      <c r="E33" s="9" t="n">
        <v>48.2</v>
      </c>
      <c r="F33" s="15" t="n">
        <v>1597.59</v>
      </c>
      <c r="G33" s="15" t="n">
        <v>4208.11</v>
      </c>
      <c r="H33" s="16" t="n">
        <v>2.634036267127361</v>
      </c>
      <c r="I33" s="9" t="inlineStr">
        <is>
          <t>Star: High Revenue / High Margin</t>
        </is>
      </c>
    </row>
    <row r="34">
      <c r="A34" s="12" t="inlineStr">
        <is>
          <t>Cafe/Breakfast House #93</t>
        </is>
      </c>
      <c r="B34" s="12" t="inlineStr">
        <is>
          <t>Cafe/Breakfast</t>
        </is>
      </c>
      <c r="C34" s="12" t="inlineStr">
        <is>
          <t>Premium</t>
        </is>
      </c>
      <c r="D34" s="12" t="n">
        <v>2</v>
      </c>
      <c r="E34" s="12" t="n">
        <v>42.8</v>
      </c>
      <c r="F34" s="17" t="n">
        <v>1401.05</v>
      </c>
      <c r="G34" s="17" t="n">
        <v>3865.04</v>
      </c>
      <c r="H34" s="18" t="n">
        <v>2.758673851754042</v>
      </c>
      <c r="I34" s="12" t="inlineStr">
        <is>
          <t>Star: High Revenue / High Margin</t>
        </is>
      </c>
    </row>
    <row r="35">
      <c r="A35" s="9" t="inlineStr">
        <is>
          <t>Cafe/Breakfast House #296</t>
        </is>
      </c>
      <c r="B35" s="9" t="inlineStr">
        <is>
          <t>Cafe/Breakfast</t>
        </is>
      </c>
      <c r="C35" s="9" t="inlineStr">
        <is>
          <t>Premium</t>
        </is>
      </c>
      <c r="D35" s="9" t="n">
        <v>2</v>
      </c>
      <c r="E35" s="9" t="n">
        <v>44.1</v>
      </c>
      <c r="F35" s="15" t="n">
        <v>1364.05</v>
      </c>
      <c r="G35" s="15" t="n">
        <v>3625.69</v>
      </c>
      <c r="H35" s="16" t="n">
        <v>2.658033063304132</v>
      </c>
      <c r="I35" s="9" t="inlineStr">
        <is>
          <t>Star: High Revenue / High Margin</t>
        </is>
      </c>
    </row>
    <row r="36">
      <c r="A36" s="12" t="inlineStr">
        <is>
          <t>Sandwiches House #219</t>
        </is>
      </c>
      <c r="B36" s="12" t="inlineStr">
        <is>
          <t>Sandwiches</t>
        </is>
      </c>
      <c r="C36" s="12" t="inlineStr">
        <is>
          <t>Premium</t>
        </is>
      </c>
      <c r="D36" s="12" t="n">
        <v>2</v>
      </c>
      <c r="E36" s="12" t="n">
        <v>43.4</v>
      </c>
      <c r="F36" s="17" t="n">
        <v>1320.96</v>
      </c>
      <c r="G36" s="17" t="n">
        <v>3531.67</v>
      </c>
      <c r="H36" s="18" t="n">
        <v>2.67356316618217</v>
      </c>
      <c r="I36" s="12" t="inlineStr">
        <is>
          <t>Star: High Revenue / High Margin</t>
        </is>
      </c>
    </row>
    <row r="37">
      <c r="A37" s="9" t="inlineStr">
        <is>
          <t>Desserts &amp; Bakery House #174</t>
        </is>
      </c>
      <c r="B37" s="9" t="inlineStr">
        <is>
          <t>Desserts &amp; Bakery</t>
        </is>
      </c>
      <c r="C37" s="9" t="inlineStr">
        <is>
          <t>Premium</t>
        </is>
      </c>
      <c r="D37" s="9" t="n">
        <v>2</v>
      </c>
      <c r="E37" s="9" t="n">
        <v>45.9</v>
      </c>
      <c r="F37" s="15" t="n">
        <v>1398.38</v>
      </c>
      <c r="G37" s="15" t="n">
        <v>3508.12</v>
      </c>
      <c r="H37" s="16" t="n">
        <v>2.50870292767345</v>
      </c>
      <c r="I37" s="9" t="inlineStr">
        <is>
          <t>Star: High Revenue / High Margin</t>
        </is>
      </c>
    </row>
    <row r="38">
      <c r="A38" s="12" t="inlineStr">
        <is>
          <t>Asian House #187</t>
        </is>
      </c>
      <c r="B38" s="12" t="inlineStr">
        <is>
          <t>Asian</t>
        </is>
      </c>
      <c r="C38" s="12" t="inlineStr">
        <is>
          <t>Premium</t>
        </is>
      </c>
      <c r="D38" s="12" t="n">
        <v>2</v>
      </c>
      <c r="E38" s="12" t="n">
        <v>43.2</v>
      </c>
      <c r="F38" s="17" t="n">
        <v>1272</v>
      </c>
      <c r="G38" s="17" t="n">
        <v>3506.41</v>
      </c>
      <c r="H38" s="18" t="n">
        <v>2.756611635220126</v>
      </c>
      <c r="I38" s="12" t="inlineStr">
        <is>
          <t>Star: High Revenue / High Margin</t>
        </is>
      </c>
    </row>
    <row r="39">
      <c r="A39" s="9" t="inlineStr">
        <is>
          <t>Sandwiches House #128</t>
        </is>
      </c>
      <c r="B39" s="9" t="inlineStr">
        <is>
          <t>Sandwiches</t>
        </is>
      </c>
      <c r="C39" s="9" t="inlineStr">
        <is>
          <t>Premium</t>
        </is>
      </c>
      <c r="D39" s="9" t="n">
        <v>2</v>
      </c>
      <c r="E39" s="9" t="n">
        <v>44.3</v>
      </c>
      <c r="F39" s="15" t="n">
        <v>1141.66</v>
      </c>
      <c r="G39" s="15" t="n">
        <v>2939.49</v>
      </c>
      <c r="H39" s="16" t="n">
        <v>2.574750801464534</v>
      </c>
      <c r="I39" s="9" t="inlineStr">
        <is>
          <t>Star: High Revenue / High Margin</t>
        </is>
      </c>
    </row>
    <row r="40">
      <c r="A40" s="12" t="inlineStr">
        <is>
          <t>Mexican House #60</t>
        </is>
      </c>
      <c r="B40" s="12" t="inlineStr">
        <is>
          <t>Mexican</t>
        </is>
      </c>
      <c r="C40" s="12" t="inlineStr">
        <is>
          <t>Mid</t>
        </is>
      </c>
      <c r="D40" s="12" t="n">
        <v>2</v>
      </c>
      <c r="E40" s="12" t="n">
        <v>73.2</v>
      </c>
      <c r="F40" s="17" t="n">
        <v>1472.37</v>
      </c>
      <c r="G40" s="17" t="n">
        <v>2362.56</v>
      </c>
      <c r="H40" s="18" t="n">
        <v>1.604596670673812</v>
      </c>
      <c r="I40" s="12" t="inlineStr">
        <is>
          <t>Star: High Revenue / High Margin</t>
        </is>
      </c>
    </row>
    <row r="41">
      <c r="A41" s="9" t="inlineStr">
        <is>
          <t>Healthy/Salads House #195</t>
        </is>
      </c>
      <c r="B41" s="9" t="inlineStr">
        <is>
          <t>Healthy/Salads</t>
        </is>
      </c>
      <c r="C41" s="9" t="inlineStr">
        <is>
          <t>Mid</t>
        </is>
      </c>
      <c r="D41" s="9" t="n">
        <v>1</v>
      </c>
      <c r="E41" s="9" t="n">
        <v>77.59999999999999</v>
      </c>
      <c r="F41" s="15" t="n">
        <v>1627.49</v>
      </c>
      <c r="G41" s="15" t="n">
        <v>2249.49</v>
      </c>
      <c r="H41" s="16" t="n">
        <v>1.382183607886992</v>
      </c>
      <c r="I41" s="9" t="inlineStr">
        <is>
          <t>Star: High Revenue / High Margin</t>
        </is>
      </c>
    </row>
    <row r="42">
      <c r="A42" s="12" t="inlineStr">
        <is>
          <t>Indian House #50</t>
        </is>
      </c>
      <c r="B42" s="12" t="inlineStr">
        <is>
          <t>Indian</t>
        </is>
      </c>
      <c r="C42" s="12" t="inlineStr">
        <is>
          <t>Premium</t>
        </is>
      </c>
      <c r="D42" s="12" t="n">
        <v>1</v>
      </c>
      <c r="E42" s="12" t="n">
        <v>46.8</v>
      </c>
      <c r="F42" s="17" t="n">
        <v>1251.67</v>
      </c>
      <c r="G42" s="17" t="n">
        <v>2200.26</v>
      </c>
      <c r="H42" s="18" t="n">
        <v>1.757859499708389</v>
      </c>
      <c r="I42" s="12" t="inlineStr">
        <is>
          <t>Star: High Revenue / High Margin</t>
        </is>
      </c>
    </row>
    <row r="43">
      <c r="A43" s="9" t="inlineStr">
        <is>
          <t>BBQ/Grill House #222</t>
        </is>
      </c>
      <c r="B43" s="9" t="inlineStr">
        <is>
          <t>BBQ/Grill</t>
        </is>
      </c>
      <c r="C43" s="9" t="inlineStr">
        <is>
          <t>Premium</t>
        </is>
      </c>
      <c r="D43" s="9" t="n">
        <v>1</v>
      </c>
      <c r="E43" s="9" t="n">
        <v>48.3</v>
      </c>
      <c r="F43" s="15" t="n">
        <v>1290.46</v>
      </c>
      <c r="G43" s="15" t="n">
        <v>2011.65</v>
      </c>
      <c r="H43" s="16" t="n">
        <v>1.558862731119136</v>
      </c>
      <c r="I43" s="9" t="inlineStr">
        <is>
          <t>Star: High Revenue / High Margin</t>
        </is>
      </c>
    </row>
    <row r="44">
      <c r="A44" s="12" t="inlineStr">
        <is>
          <t>Italian House #111</t>
        </is>
      </c>
      <c r="B44" s="12" t="inlineStr">
        <is>
          <t>Italian</t>
        </is>
      </c>
      <c r="C44" s="12" t="inlineStr">
        <is>
          <t>Premium</t>
        </is>
      </c>
      <c r="D44" s="12" t="n">
        <v>4</v>
      </c>
      <c r="E44" s="12" t="n">
        <v>21.8</v>
      </c>
      <c r="F44" s="17" t="n">
        <v>720.6</v>
      </c>
      <c r="G44" s="17" t="n">
        <v>1911.75</v>
      </c>
      <c r="H44" s="18" t="n">
        <v>2.652997502081599</v>
      </c>
      <c r="I44" s="12" t="inlineStr">
        <is>
          <t>Star: High Revenue / High Margin</t>
        </is>
      </c>
    </row>
    <row r="45">
      <c r="A45" s="9" t="inlineStr">
        <is>
          <t>Asian House #126</t>
        </is>
      </c>
      <c r="B45" s="9" t="inlineStr">
        <is>
          <t>Asian</t>
        </is>
      </c>
      <c r="C45" s="9" t="inlineStr">
        <is>
          <t>Mid</t>
        </is>
      </c>
      <c r="D45" s="9" t="n">
        <v>1</v>
      </c>
      <c r="E45" s="9" t="n">
        <v>80.2</v>
      </c>
      <c r="F45" s="15" t="n">
        <v>1542.38</v>
      </c>
      <c r="G45" s="15" t="n">
        <v>1909.81</v>
      </c>
      <c r="H45" s="16" t="n">
        <v>1.238222746664246</v>
      </c>
      <c r="I45" s="9" t="inlineStr">
        <is>
          <t>Star: High Revenue / High Margin</t>
        </is>
      </c>
    </row>
    <row r="46">
      <c r="A46" s="12" t="inlineStr">
        <is>
          <t>Cafe/Breakfast House #92</t>
        </is>
      </c>
      <c r="B46" s="12" t="inlineStr">
        <is>
          <t>Cafe/Breakfast</t>
        </is>
      </c>
      <c r="C46" s="12" t="inlineStr">
        <is>
          <t>Mid</t>
        </is>
      </c>
      <c r="D46" s="12" t="n">
        <v>1</v>
      </c>
      <c r="E46" s="12" t="n">
        <v>80.8</v>
      </c>
      <c r="F46" s="17" t="n">
        <v>1539.14</v>
      </c>
      <c r="G46" s="17" t="n">
        <v>1867.87</v>
      </c>
      <c r="H46" s="18" t="n">
        <v>1.213580311082813</v>
      </c>
      <c r="I46" s="12" t="inlineStr">
        <is>
          <t>Star: High Revenue / High Margin</t>
        </is>
      </c>
    </row>
    <row r="47">
      <c r="A47" s="9" t="inlineStr">
        <is>
          <t>Healthy/Salads House #49</t>
        </is>
      </c>
      <c r="B47" s="9" t="inlineStr">
        <is>
          <t>Healthy/Salads</t>
        </is>
      </c>
      <c r="C47" s="9" t="inlineStr">
        <is>
          <t>Mid</t>
        </is>
      </c>
      <c r="D47" s="9" t="n">
        <v>1</v>
      </c>
      <c r="E47" s="9" t="n">
        <v>82</v>
      </c>
      <c r="F47" s="15" t="n">
        <v>1402.08</v>
      </c>
      <c r="G47" s="15" t="n">
        <v>1853.28</v>
      </c>
      <c r="H47" s="16" t="n">
        <v>1.321807600136939</v>
      </c>
      <c r="I47" s="9" t="inlineStr">
        <is>
          <t>Star: High Revenue / High Margin</t>
        </is>
      </c>
    </row>
    <row r="48">
      <c r="A48" s="12" t="inlineStr">
        <is>
          <t>Seafood House #18</t>
        </is>
      </c>
      <c r="B48" s="12" t="inlineStr">
        <is>
          <t>Seafood</t>
        </is>
      </c>
      <c r="C48" s="12" t="inlineStr">
        <is>
          <t>Premium</t>
        </is>
      </c>
      <c r="D48" s="12" t="n">
        <v>4</v>
      </c>
      <c r="E48" s="12" t="n">
        <v>24</v>
      </c>
      <c r="F48" s="17" t="n">
        <v>730.4400000000001</v>
      </c>
      <c r="G48" s="17" t="n">
        <v>1792.24</v>
      </c>
      <c r="H48" s="18" t="n">
        <v>2.453644378730628</v>
      </c>
      <c r="I48" s="12" t="inlineStr">
        <is>
          <t>Star: High Revenue / High Margin</t>
        </is>
      </c>
    </row>
    <row r="49">
      <c r="A49" s="9" t="inlineStr">
        <is>
          <t>Mexican House #201</t>
        </is>
      </c>
      <c r="B49" s="9" t="inlineStr">
        <is>
          <t>Mexican</t>
        </is>
      </c>
      <c r="C49" s="9" t="inlineStr">
        <is>
          <t>Mid</t>
        </is>
      </c>
      <c r="D49" s="9" t="n">
        <v>1</v>
      </c>
      <c r="E49" s="9" t="n">
        <v>81.59999999999999</v>
      </c>
      <c r="F49" s="15" t="n">
        <v>1458.97</v>
      </c>
      <c r="G49" s="15" t="n">
        <v>1769.82</v>
      </c>
      <c r="H49" s="16" t="n">
        <v>1.213061269251595</v>
      </c>
      <c r="I49" s="9" t="inlineStr">
        <is>
          <t>Star: High Revenue / High Margin</t>
        </is>
      </c>
    </row>
    <row r="50">
      <c r="A50" s="12" t="inlineStr">
        <is>
          <t>Mexican House #78</t>
        </is>
      </c>
      <c r="B50" s="12" t="inlineStr">
        <is>
          <t>Mexican</t>
        </is>
      </c>
      <c r="C50" s="12" t="inlineStr">
        <is>
          <t>Premium</t>
        </is>
      </c>
      <c r="D50" s="12" t="n">
        <v>3</v>
      </c>
      <c r="E50" s="12" t="n">
        <v>14.4</v>
      </c>
      <c r="F50" s="17" t="n">
        <v>481.02</v>
      </c>
      <c r="G50" s="17" t="n">
        <v>1678.21</v>
      </c>
      <c r="H50" s="18" t="n">
        <v>3.488857012182446</v>
      </c>
      <c r="I50" s="12" t="inlineStr">
        <is>
          <t>Star: High Revenue / High Margin</t>
        </is>
      </c>
    </row>
    <row r="51">
      <c r="A51" s="9" t="inlineStr">
        <is>
          <t>Burgers House #164</t>
        </is>
      </c>
      <c r="B51" s="9" t="inlineStr">
        <is>
          <t>Burgers</t>
        </is>
      </c>
      <c r="C51" s="9" t="inlineStr">
        <is>
          <t>Mid</t>
        </is>
      </c>
      <c r="D51" s="9" t="n">
        <v>2</v>
      </c>
      <c r="E51" s="9" t="n">
        <v>74.5</v>
      </c>
      <c r="F51" s="15" t="n">
        <v>1349.91</v>
      </c>
      <c r="G51" s="15" t="n">
        <v>1432.87</v>
      </c>
      <c r="H51" s="16" t="n">
        <v>1.061455948915113</v>
      </c>
      <c r="I51" s="9" t="inlineStr">
        <is>
          <t>Star: High Revenue / High Margin</t>
        </is>
      </c>
    </row>
    <row r="52">
      <c r="A52" s="12" t="inlineStr">
        <is>
          <t>Mexican House #81</t>
        </is>
      </c>
      <c r="B52" s="12" t="inlineStr">
        <is>
          <t>Mexican</t>
        </is>
      </c>
      <c r="C52" s="12" t="inlineStr">
        <is>
          <t>Mid</t>
        </is>
      </c>
      <c r="D52" s="12" t="n">
        <v>2</v>
      </c>
      <c r="E52" s="12" t="n">
        <v>74</v>
      </c>
      <c r="F52" s="17" t="n">
        <v>1367.54</v>
      </c>
      <c r="G52" s="17" t="n">
        <v>1410.18</v>
      </c>
      <c r="H52" s="18" t="n">
        <v>1.031180075171476</v>
      </c>
      <c r="I52" s="12" t="inlineStr">
        <is>
          <t>Star: High Revenue / High Margin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3" customWidth="1" min="4" max="4"/>
    <col width="20" customWidth="1" min="5" max="5"/>
    <col width="20" customWidth="1" min="6" max="6"/>
    <col width="19" customWidth="1" min="7" max="7"/>
  </cols>
  <sheetData>
    <row r="1" ht="28" customHeight="1">
      <c r="A1" s="1" t="inlineStr">
        <is>
          <t>Delivery Operations</t>
        </is>
      </c>
    </row>
    <row r="2" ht="16" customHeight="1">
      <c r="A2" s="2" t="inlineStr">
        <is>
          <t>Rider-level performance and month-over-month service levels</t>
        </is>
      </c>
    </row>
    <row r="4">
      <c r="A4" s="8" t="inlineStr">
        <is>
          <t>Month</t>
        </is>
      </c>
      <c r="B4" s="8" t="inlineStr">
        <is>
          <t>Avg Delivery Minutes</t>
        </is>
      </c>
      <c r="C4" s="8" t="inlineStr">
        <is>
          <t>On Time Rate</t>
        </is>
      </c>
      <c r="D4" s="8" t="inlineStr">
        <is>
          <t>Cancellation Rate</t>
        </is>
      </c>
      <c r="E4" s="8" t="inlineStr">
        <is>
          <t>Avg Rating</t>
        </is>
      </c>
    </row>
    <row r="5">
      <c r="A5" s="9" t="inlineStr">
        <is>
          <t>2025-04</t>
        </is>
      </c>
      <c r="B5" s="9" t="n">
        <v>36.56944538383497</v>
      </c>
      <c r="C5" s="16" t="n">
        <v>0.762935407507609</v>
      </c>
      <c r="D5" s="16" t="n">
        <v>0.0594783715012722</v>
      </c>
      <c r="E5" s="9" t="n">
        <v>4.365166374781086</v>
      </c>
    </row>
    <row r="6">
      <c r="A6" s="12" t="inlineStr">
        <is>
          <t>2025-05</t>
        </is>
      </c>
      <c r="B6" s="12" t="n">
        <v>36.47000780640125</v>
      </c>
      <c r="C6" s="18" t="n">
        <v>0.7628415300546448</v>
      </c>
      <c r="D6" s="18" t="n">
        <v>0.06291148500365761</v>
      </c>
      <c r="E6" s="12" t="n">
        <v>4.370481439455341</v>
      </c>
    </row>
    <row r="7">
      <c r="A7" s="9" t="inlineStr">
        <is>
          <t>2025-06</t>
        </is>
      </c>
      <c r="B7" s="9" t="n">
        <v>36.5844057640177</v>
      </c>
      <c r="C7" s="16" t="n">
        <v>0.7551719218148095</v>
      </c>
      <c r="D7" s="16" t="n">
        <v>0.0628426260195213</v>
      </c>
      <c r="E7" s="9" t="n">
        <v>4.360928518791452</v>
      </c>
    </row>
    <row r="8">
      <c r="A8" s="12" t="inlineStr">
        <is>
          <t>2025-07</t>
        </is>
      </c>
      <c r="B8" s="12" t="n">
        <v>36.55967826314413</v>
      </c>
      <c r="C8" s="18" t="n">
        <v>0.761705466910803</v>
      </c>
      <c r="D8" s="18" t="n">
        <v>0.061840490797546</v>
      </c>
      <c r="E8" s="12" t="n">
        <v>4.361239994573328</v>
      </c>
    </row>
    <row r="9">
      <c r="A9" s="9" t="inlineStr">
        <is>
          <t>2025-08</t>
        </is>
      </c>
      <c r="B9" s="9" t="n">
        <v>36.69523218276633</v>
      </c>
      <c r="C9" s="16" t="n">
        <v>0.7596225478023343</v>
      </c>
      <c r="D9" s="16" t="n">
        <v>0.0599906629318394</v>
      </c>
      <c r="E9" s="9" t="n">
        <v>4.356762321451551</v>
      </c>
    </row>
    <row r="10">
      <c r="A10" s="12" t="inlineStr">
        <is>
          <t>2025-09</t>
        </is>
      </c>
      <c r="B10" s="12" t="n">
        <v>36.83124366767984</v>
      </c>
      <c r="C10" s="18" t="n">
        <v>0.7627912867274569</v>
      </c>
      <c r="D10" s="18" t="n">
        <v>0.062455473759202</v>
      </c>
      <c r="E10" s="12" t="n">
        <v>4.364815544177498</v>
      </c>
    </row>
    <row r="11">
      <c r="A11" s="9" t="inlineStr">
        <is>
          <t>2025-10</t>
        </is>
      </c>
      <c r="B11" s="9" t="n">
        <v>36.44580398710756</v>
      </c>
      <c r="C11" s="16" t="n">
        <v>0.7660260236361466</v>
      </c>
      <c r="D11" s="16" t="n">
        <v>0.0616108435084574</v>
      </c>
      <c r="E11" s="9" t="n">
        <v>4.360731556106634</v>
      </c>
    </row>
    <row r="12">
      <c r="A12" s="12" t="inlineStr">
        <is>
          <t>2025-11</t>
        </is>
      </c>
      <c r="B12" s="12" t="n">
        <v>36.55011464460173</v>
      </c>
      <c r="C12" s="18" t="n">
        <v>0.7685175954540923</v>
      </c>
      <c r="D12" s="18" t="n">
        <v>0.0610315454460357</v>
      </c>
      <c r="E12" s="12" t="n">
        <v>4.359628099173554</v>
      </c>
    </row>
    <row r="13">
      <c r="A13" s="9" t="inlineStr">
        <is>
          <t>2025-12</t>
        </is>
      </c>
      <c r="B13" s="9" t="n">
        <v>36.79172464298792</v>
      </c>
      <c r="C13" s="16" t="n">
        <v>0.7481691688026364</v>
      </c>
      <c r="D13" s="16" t="n">
        <v>0.0612700867921285</v>
      </c>
      <c r="E13" s="9" t="n">
        <v>4.363905437352246</v>
      </c>
    </row>
    <row r="14">
      <c r="A14" s="12" t="inlineStr">
        <is>
          <t>2026-01</t>
        </is>
      </c>
      <c r="B14" s="12" t="n">
        <v>36.51607778041262</v>
      </c>
      <c r="C14" s="18" t="n">
        <v>0.7631017310884515</v>
      </c>
      <c r="D14" s="18" t="n">
        <v>0.0614288893834854</v>
      </c>
      <c r="E14" s="12" t="n">
        <v>4.369392782362359</v>
      </c>
    </row>
    <row r="15">
      <c r="A15" s="9" t="inlineStr">
        <is>
          <t>2026-02</t>
        </is>
      </c>
      <c r="B15" s="9" t="n">
        <v>36.48350604490501</v>
      </c>
      <c r="C15" s="16" t="n">
        <v>0.7521588946459413</v>
      </c>
      <c r="D15" s="16" t="n">
        <v>0.061696955666165</v>
      </c>
      <c r="E15" s="9" t="n">
        <v>4.359442882698697</v>
      </c>
    </row>
    <row r="16">
      <c r="A16" s="12" t="inlineStr">
        <is>
          <t>2026-03</t>
        </is>
      </c>
      <c r="B16" s="12" t="n">
        <v>36.85843833918612</v>
      </c>
      <c r="C16" s="18" t="n">
        <v>0.7549060111547201</v>
      </c>
      <c r="D16" s="18" t="n">
        <v>0.0617307878670413</v>
      </c>
      <c r="E16" s="12" t="n">
        <v>4.35851645406796</v>
      </c>
    </row>
    <row r="17">
      <c r="A17" s="9" t="inlineStr">
        <is>
          <t>2026-04</t>
        </is>
      </c>
      <c r="B17" s="9" t="n">
        <v>36.51415621986499</v>
      </c>
      <c r="C17" s="16" t="n">
        <v>0.758341369334619</v>
      </c>
      <c r="D17" s="16" t="n">
        <v>0.0610286128214415</v>
      </c>
      <c r="E17" s="9" t="n">
        <v>4.359095467308464</v>
      </c>
    </row>
    <row r="18">
      <c r="A18" s="12" t="inlineStr">
        <is>
          <t>2026-05</t>
        </is>
      </c>
      <c r="B18" s="12" t="n">
        <v>36.61880822802325</v>
      </c>
      <c r="C18" s="18" t="n">
        <v>0.7563877871045106</v>
      </c>
      <c r="D18" s="18" t="n">
        <v>0.0613852813852813</v>
      </c>
      <c r="E18" s="12" t="n">
        <v>4.359143783371472</v>
      </c>
    </row>
    <row r="19">
      <c r="A19" s="9" t="inlineStr">
        <is>
          <t>2026-06</t>
        </is>
      </c>
      <c r="B19" s="9" t="n">
        <v>36.49519369331185</v>
      </c>
      <c r="C19" s="16" t="n">
        <v>0.7582436212596423</v>
      </c>
      <c r="D19" s="16" t="n">
        <v>0.0597752450785048</v>
      </c>
      <c r="E19" s="9" t="n">
        <v>4.359048204407761</v>
      </c>
    </row>
    <row r="20">
      <c r="A20" s="12" t="inlineStr">
        <is>
          <t>2026-07</t>
        </is>
      </c>
      <c r="B20" s="12" t="n">
        <v>36.82670271964888</v>
      </c>
      <c r="C20" s="18" t="n">
        <v>0.7510776706638451</v>
      </c>
      <c r="D20" s="18" t="n">
        <v>0.0621830209481808</v>
      </c>
      <c r="E20" s="12" t="n">
        <v>4.359341731003656</v>
      </c>
    </row>
    <row r="21">
      <c r="A21" s="9" t="inlineStr">
        <is>
          <t>2026-08</t>
        </is>
      </c>
      <c r="B21" s="9" t="n">
        <v>36.40252782931354</v>
      </c>
      <c r="C21" s="16" t="n">
        <v>0.7660791589363017</v>
      </c>
      <c r="D21" s="16" t="n">
        <v>0.0594736076777664</v>
      </c>
      <c r="E21" s="9" t="n">
        <v>4.361247394580728</v>
      </c>
    </row>
    <row r="44">
      <c r="A44" s="3" t="inlineStr">
        <is>
          <t>Top 15 Riders by Orders Completed</t>
        </is>
      </c>
    </row>
    <row r="45">
      <c r="A45" s="8" t="inlineStr">
        <is>
          <t>Rider Id</t>
        </is>
      </c>
      <c r="B45" s="8" t="inlineStr">
        <is>
          <t>Vehicle Type</t>
        </is>
      </c>
      <c r="C45" s="8" t="inlineStr">
        <is>
          <t>Orders Completed</t>
        </is>
      </c>
      <c r="D45" s="8" t="inlineStr">
        <is>
          <t>Average Delivery Time</t>
        </is>
      </c>
      <c r="E45" s="8" t="inlineStr">
        <is>
          <t>Average Distance</t>
        </is>
      </c>
      <c r="F45" s="8" t="inlineStr">
        <is>
          <t>On Time Rate</t>
        </is>
      </c>
      <c r="G45" s="8" t="inlineStr">
        <is>
          <t>Cancellation Rate</t>
        </is>
      </c>
    </row>
    <row r="46">
      <c r="A46" s="9" t="n">
        <v>157</v>
      </c>
      <c r="B46" s="9" t="inlineStr">
        <is>
          <t>Car</t>
        </is>
      </c>
      <c r="C46" s="9" t="n">
        <v>1313</v>
      </c>
      <c r="D46" s="9" t="n">
        <v>28.31073876618431</v>
      </c>
      <c r="E46" s="9" t="n">
        <v>5.081980198019802</v>
      </c>
      <c r="F46" s="16" t="n">
        <v>1</v>
      </c>
      <c r="G46" s="16" t="n">
        <v>0.065</v>
      </c>
    </row>
    <row r="47">
      <c r="A47" s="12" t="n">
        <v>516</v>
      </c>
      <c r="B47" s="12" t="inlineStr">
        <is>
          <t>Bike</t>
        </is>
      </c>
      <c r="C47" s="12" t="n">
        <v>1284</v>
      </c>
      <c r="D47" s="12" t="n">
        <v>32.30350467289719</v>
      </c>
      <c r="E47" s="12" t="n">
        <v>3.312710280373832</v>
      </c>
      <c r="F47" s="18" t="n">
        <v>0.911214953271028</v>
      </c>
      <c r="G47" s="18" t="n">
        <v>0.05</v>
      </c>
    </row>
    <row r="48">
      <c r="A48" s="9" t="n">
        <v>191</v>
      </c>
      <c r="B48" s="9" t="inlineStr">
        <is>
          <t>Scooter</t>
        </is>
      </c>
      <c r="C48" s="9" t="n">
        <v>1264</v>
      </c>
      <c r="D48" s="9" t="n">
        <v>27.9632911392405</v>
      </c>
      <c r="E48" s="9" t="n">
        <v>5.104406645569621</v>
      </c>
      <c r="F48" s="16" t="n">
        <v>1</v>
      </c>
      <c r="G48" s="16" t="n">
        <v>0.061</v>
      </c>
    </row>
    <row r="49">
      <c r="A49" s="12" t="n">
        <v>249</v>
      </c>
      <c r="B49" s="12" t="inlineStr">
        <is>
          <t>Scooter</t>
        </is>
      </c>
      <c r="C49" s="12" t="n">
        <v>1258</v>
      </c>
      <c r="D49" s="12" t="n">
        <v>44.27742448330684</v>
      </c>
      <c r="E49" s="12" t="n">
        <v>5.032877583465819</v>
      </c>
      <c r="F49" s="18" t="n">
        <v>0.5135135135135135</v>
      </c>
      <c r="G49" s="18" t="n">
        <v>0.06900000000000001</v>
      </c>
    </row>
    <row r="50">
      <c r="A50" s="9" t="n">
        <v>198</v>
      </c>
      <c r="B50" s="9" t="inlineStr">
        <is>
          <t>Bike</t>
        </is>
      </c>
      <c r="C50" s="9" t="n">
        <v>1257</v>
      </c>
      <c r="D50" s="9" t="n">
        <v>34.3211614956245</v>
      </c>
      <c r="E50" s="9" t="n">
        <v>5.138528241845664</v>
      </c>
      <c r="F50" s="16" t="n">
        <v>0.9745425616547336</v>
      </c>
      <c r="G50" s="16" t="n">
        <v>0.06900000000000001</v>
      </c>
    </row>
    <row r="51">
      <c r="A51" s="12" t="n">
        <v>10</v>
      </c>
      <c r="B51" s="12" t="inlineStr">
        <is>
          <t>Scooter</t>
        </is>
      </c>
      <c r="C51" s="12" t="n">
        <v>1256</v>
      </c>
      <c r="D51" s="12" t="n">
        <v>36.45613057324841</v>
      </c>
      <c r="E51" s="12" t="n">
        <v>5.081855095541401</v>
      </c>
      <c r="F51" s="18" t="n">
        <v>0.9554140127388536</v>
      </c>
      <c r="G51" s="18" t="n">
        <v>0.063</v>
      </c>
    </row>
    <row r="52">
      <c r="A52" s="9" t="n">
        <v>118</v>
      </c>
      <c r="B52" s="9" t="inlineStr">
        <is>
          <t>Bike</t>
        </is>
      </c>
      <c r="C52" s="9" t="n">
        <v>1248</v>
      </c>
      <c r="D52" s="9" t="n">
        <v>37.13814102564103</v>
      </c>
      <c r="E52" s="9" t="n">
        <v>5.100921474358974</v>
      </c>
      <c r="F52" s="16" t="n">
        <v>0.9342948717948718</v>
      </c>
      <c r="G52" s="16" t="n">
        <v>0.063</v>
      </c>
    </row>
    <row r="53">
      <c r="A53" s="12" t="n">
        <v>508</v>
      </c>
      <c r="B53" s="12" t="inlineStr">
        <is>
          <t>Scooter</t>
        </is>
      </c>
      <c r="C53" s="12" t="n">
        <v>1247</v>
      </c>
      <c r="D53" s="12" t="n">
        <v>37.46214915797916</v>
      </c>
      <c r="E53" s="12" t="n">
        <v>3.33261427425822</v>
      </c>
      <c r="F53" s="18" t="n">
        <v>0.6431435445068163</v>
      </c>
      <c r="G53" s="18" t="n">
        <v>0.049</v>
      </c>
    </row>
    <row r="54">
      <c r="A54" s="9" t="n">
        <v>269</v>
      </c>
      <c r="B54" s="9" t="inlineStr">
        <is>
          <t>Bike</t>
        </is>
      </c>
      <c r="C54" s="9" t="n">
        <v>1245</v>
      </c>
      <c r="D54" s="9" t="n">
        <v>46.58361445783133</v>
      </c>
      <c r="E54" s="9" t="n">
        <v>5.134441767068274</v>
      </c>
      <c r="F54" s="16" t="n">
        <v>0.3630522088353413</v>
      </c>
      <c r="G54" s="16" t="n">
        <v>0.051</v>
      </c>
    </row>
    <row r="55">
      <c r="A55" s="12" t="n">
        <v>248</v>
      </c>
      <c r="B55" s="12" t="inlineStr">
        <is>
          <t>Scooter</t>
        </is>
      </c>
      <c r="C55" s="12" t="n">
        <v>1244</v>
      </c>
      <c r="D55" s="12" t="n">
        <v>29.7806270096463</v>
      </c>
      <c r="E55" s="12" t="n">
        <v>3.358810289389067</v>
      </c>
      <c r="F55" s="18" t="n">
        <v>0.9670418006430868</v>
      </c>
      <c r="G55" s="18" t="n">
        <v>0.051</v>
      </c>
    </row>
    <row r="56">
      <c r="A56" s="9" t="n">
        <v>193</v>
      </c>
      <c r="B56" s="9" t="inlineStr">
        <is>
          <t>Bike</t>
        </is>
      </c>
      <c r="C56" s="9" t="n">
        <v>1239</v>
      </c>
      <c r="D56" s="9" t="n">
        <v>32.66077481840193</v>
      </c>
      <c r="E56" s="9" t="n">
        <v>3.289443099273607</v>
      </c>
      <c r="F56" s="16" t="n">
        <v>0.8894269572235673</v>
      </c>
      <c r="G56" s="16" t="n">
        <v>0.058</v>
      </c>
    </row>
    <row r="57">
      <c r="A57" s="12" t="n">
        <v>322</v>
      </c>
      <c r="B57" s="12" t="inlineStr">
        <is>
          <t>Scooter</t>
        </is>
      </c>
      <c r="C57" s="12" t="n">
        <v>1236</v>
      </c>
      <c r="D57" s="12" t="n">
        <v>34.08899676375405</v>
      </c>
      <c r="E57" s="12" t="n">
        <v>5.08584142394822</v>
      </c>
      <c r="F57" s="18" t="n">
        <v>0.9797734627831716</v>
      </c>
      <c r="G57" s="18" t="n">
        <v>0.055</v>
      </c>
    </row>
    <row r="58">
      <c r="A58" s="9" t="n">
        <v>160</v>
      </c>
      <c r="B58" s="9" t="inlineStr">
        <is>
          <t>Bike</t>
        </is>
      </c>
      <c r="C58" s="9" t="n">
        <v>1230</v>
      </c>
      <c r="D58" s="9" t="n">
        <v>42.3419512195122</v>
      </c>
      <c r="E58" s="9" t="n">
        <v>5.065471544715447</v>
      </c>
      <c r="F58" s="16" t="n">
        <v>0.6447154471544716</v>
      </c>
      <c r="G58" s="16" t="n">
        <v>0.064</v>
      </c>
    </row>
    <row r="59">
      <c r="A59" s="12" t="n">
        <v>126</v>
      </c>
      <c r="B59" s="12" t="inlineStr">
        <is>
          <t>Bike</t>
        </is>
      </c>
      <c r="C59" s="12" t="n">
        <v>1227</v>
      </c>
      <c r="D59" s="12" t="n">
        <v>42.57652811735942</v>
      </c>
      <c r="E59" s="12" t="n">
        <v>5.096968215158924</v>
      </c>
      <c r="F59" s="18" t="n">
        <v>0.6275468622656887</v>
      </c>
      <c r="G59" s="18" t="n">
        <v>0.07000000000000001</v>
      </c>
    </row>
    <row r="60">
      <c r="A60" s="9" t="n">
        <v>83</v>
      </c>
      <c r="B60" s="9" t="inlineStr">
        <is>
          <t>Scooter</t>
        </is>
      </c>
      <c r="C60" s="9" t="n">
        <v>1224</v>
      </c>
      <c r="D60" s="9" t="n">
        <v>37.00392156862745</v>
      </c>
      <c r="E60" s="9" t="n">
        <v>3.329779411764706</v>
      </c>
      <c r="F60" s="16" t="n">
        <v>0.6772875816993464</v>
      </c>
      <c r="G60" s="16" t="n">
        <v>0.061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12-Month Demand Forecast</t>
        </is>
      </c>
    </row>
    <row r="2" ht="16" customHeight="1">
      <c r="A2" s="2" t="inlineStr">
        <is>
          <t>Rolling-origin-validated model per metric; base/upside/downside scenario bands</t>
        </is>
      </c>
    </row>
    <row r="4">
      <c r="A4" s="8" t="inlineStr">
        <is>
          <t>Month</t>
        </is>
      </c>
      <c r="B4" s="8" t="inlineStr">
        <is>
          <t>Point Forecast</t>
        </is>
      </c>
      <c r="C4" s="8" t="inlineStr">
        <is>
          <t>Lower 80</t>
        </is>
      </c>
      <c r="D4" s="8" t="inlineStr">
        <is>
          <t>Upper 80</t>
        </is>
      </c>
    </row>
    <row r="5">
      <c r="A5" s="9" t="inlineStr">
        <is>
          <t>2026-09</t>
        </is>
      </c>
      <c r="B5" s="19" t="n">
        <v>12684.2921807608</v>
      </c>
      <c r="C5" s="19" t="n">
        <v>10612.72374124154</v>
      </c>
      <c r="D5" s="19" t="n">
        <v>14755.86062028007</v>
      </c>
    </row>
    <row r="6">
      <c r="A6" s="12" t="inlineStr">
        <is>
          <t>2026-10</t>
        </is>
      </c>
      <c r="B6" s="20" t="n">
        <v>13054.95494796405</v>
      </c>
      <c r="C6" s="20" t="n">
        <v>10870.3918662892</v>
      </c>
      <c r="D6" s="20" t="n">
        <v>15239.51802963891</v>
      </c>
    </row>
    <row r="7">
      <c r="A7" s="9" t="inlineStr">
        <is>
          <t>2026-11</t>
        </is>
      </c>
      <c r="B7" s="19" t="n">
        <v>13423.76440133128</v>
      </c>
      <c r="C7" s="19" t="n">
        <v>11126.20667750083</v>
      </c>
      <c r="D7" s="19" t="n">
        <v>15721.32212516173</v>
      </c>
    </row>
    <row r="8">
      <c r="A8" s="12" t="inlineStr">
        <is>
          <t>2026-12</t>
        </is>
      </c>
      <c r="B8" s="20" t="n">
        <v>13790.72980743168</v>
      </c>
      <c r="C8" s="20" t="n">
        <v>11380.17744144563</v>
      </c>
      <c r="D8" s="20" t="n">
        <v>16201.28217341772</v>
      </c>
    </row>
    <row r="9">
      <c r="A9" s="9" t="inlineStr">
        <is>
          <t>2027-01</t>
        </is>
      </c>
      <c r="B9" s="19" t="n">
        <v>14155.86038650157</v>
      </c>
      <c r="C9" s="19" t="n">
        <v>11632.31337835992</v>
      </c>
      <c r="D9" s="19" t="n">
        <v>16679.40739464321</v>
      </c>
    </row>
    <row r="10">
      <c r="A10" s="12" t="inlineStr">
        <is>
          <t>2027-02</t>
        </is>
      </c>
      <c r="B10" s="20" t="n">
        <v>14519.16531267611</v>
      </c>
      <c r="C10" s="20" t="n">
        <v>11882.62366237887</v>
      </c>
      <c r="D10" s="20" t="n">
        <v>17155.70696297335</v>
      </c>
    </row>
    <row r="11">
      <c r="A11" s="9" t="inlineStr">
        <is>
          <t>2027-03</t>
        </is>
      </c>
      <c r="B11" s="19" t="n">
        <v>14880.65371421978</v>
      </c>
      <c r="C11" s="19" t="n">
        <v>12131.11742176694</v>
      </c>
      <c r="D11" s="19" t="n">
        <v>17630.19000667262</v>
      </c>
    </row>
    <row r="12">
      <c r="A12" s="12" t="inlineStr">
        <is>
          <t>2027-04</t>
        </is>
      </c>
      <c r="B12" s="20" t="n">
        <v>15240.33467375573</v>
      </c>
      <c r="C12" s="20" t="n">
        <v>12377.8037391473</v>
      </c>
      <c r="D12" s="20" t="n">
        <v>18102.86560836416</v>
      </c>
    </row>
    <row r="13">
      <c r="A13" s="9" t="inlineStr">
        <is>
          <t>2027-05</t>
        </is>
      </c>
      <c r="B13" s="19" t="n">
        <v>15598.217228494</v>
      </c>
      <c r="C13" s="19" t="n">
        <v>12622.69165172997</v>
      </c>
      <c r="D13" s="19" t="n">
        <v>18573.74280525803</v>
      </c>
    </row>
    <row r="14">
      <c r="A14" s="12" t="inlineStr">
        <is>
          <t>2027-06</t>
        </is>
      </c>
      <c r="B14" s="20" t="n">
        <v>15954.31037045858</v>
      </c>
      <c r="C14" s="20" t="n">
        <v>12865.79015153896</v>
      </c>
      <c r="D14" s="20" t="n">
        <v>19042.83058937821</v>
      </c>
    </row>
    <row r="15">
      <c r="A15" s="9" t="inlineStr">
        <is>
          <t>2027-07</t>
        </is>
      </c>
      <c r="B15" s="19" t="n">
        <v>16308.62304671334</v>
      </c>
      <c r="C15" s="19" t="n">
        <v>13107.10818563812</v>
      </c>
      <c r="D15" s="19" t="n">
        <v>19510.13790778856</v>
      </c>
    </row>
    <row r="16">
      <c r="A16" s="12" t="inlineStr">
        <is>
          <t>2027-08</t>
        </is>
      </c>
      <c r="B16" s="20" t="n">
        <v>16661.16415958682</v>
      </c>
      <c r="C16" s="20" t="n">
        <v>13346.654656356</v>
      </c>
      <c r="D16" s="20" t="n">
        <v>19975.67366281764</v>
      </c>
    </row>
    <row r="39">
      <c r="A39" s="3" t="inlineStr">
        <is>
          <t>Scenario Cases — Delivered Orders</t>
        </is>
      </c>
    </row>
    <row r="40">
      <c r="A40" s="8" t="inlineStr">
        <is>
          <t>Month</t>
        </is>
      </c>
      <c r="B40" s="8" t="inlineStr">
        <is>
          <t>Base Case</t>
        </is>
      </c>
      <c r="C40" s="8" t="inlineStr">
        <is>
          <t>Upside Case</t>
        </is>
      </c>
      <c r="D40" s="8" t="inlineStr">
        <is>
          <t>Downside Case</t>
        </is>
      </c>
    </row>
    <row r="41">
      <c r="A41" s="9" t="inlineStr">
        <is>
          <t>2026-09</t>
        </is>
      </c>
      <c r="B41" s="19" t="n">
        <v>12684.2921807608</v>
      </c>
      <c r="C41" s="19" t="n">
        <v>14206.4072424521</v>
      </c>
      <c r="D41" s="19" t="n">
        <v>10781.64835364668</v>
      </c>
    </row>
    <row r="42">
      <c r="A42" s="12" t="inlineStr">
        <is>
          <t>2026-10</t>
        </is>
      </c>
      <c r="B42" s="20" t="n">
        <v>13054.95494796405</v>
      </c>
      <c r="C42" s="20" t="n">
        <v>14621.54954171974</v>
      </c>
      <c r="D42" s="20" t="n">
        <v>11096.71170576944</v>
      </c>
    </row>
    <row r="43">
      <c r="A43" s="9" t="inlineStr">
        <is>
          <t>2026-11</t>
        </is>
      </c>
      <c r="B43" s="19" t="n">
        <v>13423.76440133128</v>
      </c>
      <c r="C43" s="19" t="n">
        <v>15034.61612949103</v>
      </c>
      <c r="D43" s="19" t="n">
        <v>11410.19974113159</v>
      </c>
    </row>
    <row r="44">
      <c r="A44" s="12" t="inlineStr">
        <is>
          <t>2026-12</t>
        </is>
      </c>
      <c r="B44" s="20" t="n">
        <v>13790.72980743168</v>
      </c>
      <c r="C44" s="20" t="n">
        <v>15445.61738432348</v>
      </c>
      <c r="D44" s="20" t="n">
        <v>11722.12033631692</v>
      </c>
    </row>
    <row r="45">
      <c r="A45" s="9" t="inlineStr">
        <is>
          <t>2027-01</t>
        </is>
      </c>
      <c r="B45" s="19" t="n">
        <v>14155.86038650157</v>
      </c>
      <c r="C45" s="19" t="n">
        <v>15854.56363288176</v>
      </c>
      <c r="D45" s="19" t="n">
        <v>12032.48132852633</v>
      </c>
    </row>
    <row r="46">
      <c r="A46" s="12" t="inlineStr">
        <is>
          <t>2027-02</t>
        </is>
      </c>
      <c r="B46" s="20" t="n">
        <v>14519.16531267611</v>
      </c>
      <c r="C46" s="20" t="n">
        <v>16261.46515019724</v>
      </c>
      <c r="D46" s="20" t="n">
        <v>12341.29051577469</v>
      </c>
    </row>
    <row r="47">
      <c r="A47" s="9" t="inlineStr">
        <is>
          <t>2027-03</t>
        </is>
      </c>
      <c r="B47" s="19" t="n">
        <v>14880.65371421978</v>
      </c>
      <c r="C47" s="19" t="n">
        <v>16666.33215992615</v>
      </c>
      <c r="D47" s="19" t="n">
        <v>12648.55565708681</v>
      </c>
    </row>
    <row r="48">
      <c r="A48" s="12" t="inlineStr">
        <is>
          <t>2027-04</t>
        </is>
      </c>
      <c r="B48" s="20" t="n">
        <v>15240.33467375573</v>
      </c>
      <c r="C48" s="20" t="n">
        <v>17069.17483460642</v>
      </c>
      <c r="D48" s="20" t="n">
        <v>12954.28447269237</v>
      </c>
    </row>
    <row r="49">
      <c r="A49" s="9" t="inlineStr">
        <is>
          <t>2027-05</t>
        </is>
      </c>
      <c r="B49" s="19" t="n">
        <v>15598.217228494</v>
      </c>
      <c r="C49" s="19" t="n">
        <v>17470.00329591328</v>
      </c>
      <c r="D49" s="19" t="n">
        <v>13258.4846442199</v>
      </c>
    </row>
    <row r="50">
      <c r="A50" s="12" t="inlineStr">
        <is>
          <t>2027-06</t>
        </is>
      </c>
      <c r="B50" s="20" t="n">
        <v>15954.31037045858</v>
      </c>
      <c r="C50" s="20" t="n">
        <v>17868.82761491361</v>
      </c>
      <c r="D50" s="20" t="n">
        <v>13561.16381488979</v>
      </c>
    </row>
    <row r="51">
      <c r="A51" s="9" t="inlineStr">
        <is>
          <t>2027-07</t>
        </is>
      </c>
      <c r="B51" s="19" t="n">
        <v>16308.62304671334</v>
      </c>
      <c r="C51" s="19" t="n">
        <v>18265.65781231894</v>
      </c>
      <c r="D51" s="19" t="n">
        <v>13862.32958970634</v>
      </c>
    </row>
    <row r="52">
      <c r="A52" s="12" t="inlineStr">
        <is>
          <t>2027-08</t>
        </is>
      </c>
      <c r="B52" s="20" t="n">
        <v>16661.16415958682</v>
      </c>
      <c r="C52" s="20" t="n">
        <v>18660.50385873724</v>
      </c>
      <c r="D52" s="20" t="n">
        <v>14161.9895356488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3" customWidth="1" min="3" max="3"/>
  </cols>
  <sheetData>
    <row r="1" ht="28" customHeight="1">
      <c r="A1" s="1" t="inlineStr">
        <is>
          <t>Scenario Planning</t>
        </is>
      </c>
    </row>
    <row r="2" ht="16" customHeight="1">
      <c r="A2" s="2" t="inlineStr">
        <is>
          <t>Base / Upside / Downside assumptions and resulting monthly contribution profit (avg. of forecast horizon)</t>
        </is>
      </c>
    </row>
    <row r="4">
      <c r="A4" s="8" t="inlineStr">
        <is>
          <t>Scenario</t>
        </is>
      </c>
      <c r="B4" s="8" t="inlineStr">
        <is>
          <t>Order Growth Assumption</t>
        </is>
      </c>
      <c r="C4" s="8" t="inlineStr">
        <is>
          <t>Avg Monthly Contribution Profit</t>
        </is>
      </c>
    </row>
    <row r="5">
      <c r="A5" s="9" t="inlineStr">
        <is>
          <t>Downside</t>
        </is>
      </c>
      <c r="B5" s="9" t="inlineStr">
        <is>
          <t>-15% vs base</t>
        </is>
      </c>
      <c r="C5" s="15" t="n">
        <v>3329.976324298453</v>
      </c>
    </row>
    <row r="6">
      <c r="A6" s="12" t="inlineStr">
        <is>
          <t>Base</t>
        </is>
      </c>
      <c r="B6" s="12" t="inlineStr">
        <is>
          <t>Model point forecast</t>
        </is>
      </c>
      <c r="C6" s="17" t="n">
        <v>3917.619205057004</v>
      </c>
    </row>
    <row r="7">
      <c r="A7" s="9" t="inlineStr">
        <is>
          <t>Upside</t>
        </is>
      </c>
      <c r="B7" s="9" t="inlineStr">
        <is>
          <t>+12% vs base</t>
        </is>
      </c>
      <c r="C7" s="15" t="n">
        <v>4387.733509663844</v>
      </c>
    </row>
    <row r="30">
      <c r="A30" s="3" t="inlineStr">
        <is>
          <t>Margin Driver Decomposition (first month vs. latest month)</t>
        </is>
      </c>
    </row>
    <row r="31">
      <c r="A31" s="8" t="inlineStr">
        <is>
          <t>Driver</t>
        </is>
      </c>
      <c r="B31" s="8" t="inlineStr">
        <is>
          <t>Approx Margin Pp Impact</t>
        </is>
      </c>
    </row>
    <row r="32">
      <c r="A32" s="9" t="inlineStr">
        <is>
          <t>Discount rate (of GMV)</t>
        </is>
      </c>
      <c r="B32" s="21" t="n">
        <v>-0.09</v>
      </c>
    </row>
    <row r="33">
      <c r="A33" s="12" t="inlineStr">
        <is>
          <t>Refund rate</t>
        </is>
      </c>
      <c r="B33" s="22" t="n">
        <v>-0.09</v>
      </c>
    </row>
    <row r="34">
      <c r="A34" s="9" t="inlineStr">
        <is>
          <t>Revenue mix / take-rate</t>
        </is>
      </c>
      <c r="B34" s="21" t="n">
        <v>0.01</v>
      </c>
    </row>
    <row r="35">
      <c r="A35" s="12" t="inlineStr">
        <is>
          <t>Payment processing rate</t>
        </is>
      </c>
      <c r="B35" s="22" t="n">
        <v>0.02</v>
      </c>
    </row>
    <row r="36">
      <c r="A36" s="9" t="inlineStr">
        <is>
          <t>Rider cost rate (of revenue)</t>
        </is>
      </c>
      <c r="B36" s="21" t="n">
        <v>0.41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0" customWidth="1" min="4" max="4"/>
    <col width="20" customWidth="1" min="5" max="5"/>
    <col width="29" customWidth="1" min="6" max="6"/>
    <col width="30" customWidth="1" min="7" max="7"/>
  </cols>
  <sheetData>
    <row r="1" ht="28" customHeight="1">
      <c r="A1" s="1" t="inlineStr">
        <is>
          <t>Promotion Budget Optimization</t>
        </is>
      </c>
    </row>
    <row r="2" ht="16" customHeight="1">
      <c r="A2" s="2" t="inlineStr">
        <is>
          <t>SciPy trust-constr allocation across city x segment cells vs. an even-split baseline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monthly promo budget optimized</t>
        </is>
      </c>
      <c r="B5" s="10" t="n">
        <v>13389.97666666667</v>
      </c>
    </row>
    <row r="6">
      <c r="A6" s="12" t="inlineStr">
        <is>
          <t>Baseline (even-split) incremental profit</t>
        </is>
      </c>
      <c r="B6" s="13" t="n">
        <v>273.4757535210628</v>
      </c>
    </row>
    <row r="7">
      <c r="A7" s="9" t="inlineStr">
        <is>
          <t>Optimized incremental profit</t>
        </is>
      </c>
      <c r="B7" s="10" t="n">
        <v>515.4134889872432</v>
      </c>
    </row>
    <row r="8">
      <c r="A8" s="12" t="inlineStr">
        <is>
          <t>Incremental profit gain</t>
        </is>
      </c>
      <c r="B8" s="13" t="n">
        <v>241.9377354661805</v>
      </c>
    </row>
    <row r="9">
      <c r="A9" s="9" t="inlineStr">
        <is>
          <t>Gain %</t>
        </is>
      </c>
      <c r="B9" s="10" t="n">
        <v>0.8846770960539532</v>
      </c>
    </row>
    <row r="12">
      <c r="A12" s="3" t="inlineStr">
        <is>
          <t>Allocation by City x Segment</t>
        </is>
      </c>
    </row>
    <row r="13">
      <c r="A13" s="8" t="inlineStr">
        <is>
          <t>City Name</t>
        </is>
      </c>
      <c r="B13" s="8" t="inlineStr">
        <is>
          <t>Customer Segment</t>
        </is>
      </c>
      <c r="C13" s="8" t="inlineStr">
        <is>
          <t>Orders</t>
        </is>
      </c>
      <c r="D13" s="8" t="inlineStr">
        <is>
          <t>Baseline Spend</t>
        </is>
      </c>
      <c r="E13" s="8" t="inlineStr">
        <is>
          <t>Optimized Spend</t>
        </is>
      </c>
      <c r="F13" s="8" t="inlineStr">
        <is>
          <t>Baseline Incremental Profit</t>
        </is>
      </c>
      <c r="G13" s="8" t="inlineStr">
        <is>
          <t>Optimized Incremental Profit</t>
        </is>
      </c>
    </row>
    <row r="14">
      <c r="A14" s="9" t="inlineStr">
        <is>
          <t>Porthaven</t>
        </is>
      </c>
      <c r="B14" s="9" t="inlineStr">
        <is>
          <t>High Value</t>
        </is>
      </c>
      <c r="C14" s="9" t="n">
        <v>9366</v>
      </c>
      <c r="D14" s="15" t="n">
        <v>212.5393121693122</v>
      </c>
      <c r="E14" s="15" t="n">
        <v>3312.286022962941</v>
      </c>
      <c r="F14" s="15" t="n">
        <v>11.07310381550263</v>
      </c>
      <c r="G14" s="15" t="n">
        <v>146.3639557638648</v>
      </c>
    </row>
    <row r="15">
      <c r="A15" s="12" t="inlineStr">
        <is>
          <t>Rivertown</t>
        </is>
      </c>
      <c r="B15" s="12" t="inlineStr">
        <is>
          <t>High Value</t>
        </is>
      </c>
      <c r="C15" s="12" t="n">
        <v>3521</v>
      </c>
      <c r="D15" s="17" t="n">
        <v>212.5393121693122</v>
      </c>
      <c r="E15" s="17" t="n">
        <v>2132.957338604346</v>
      </c>
      <c r="F15" s="17" t="n">
        <v>13.89247959715172</v>
      </c>
      <c r="G15" s="17" t="n">
        <v>107.614798761655</v>
      </c>
    </row>
    <row r="16">
      <c r="A16" s="9" t="inlineStr">
        <is>
          <t>Northfield</t>
        </is>
      </c>
      <c r="B16" s="9" t="inlineStr">
        <is>
          <t>Occasional</t>
        </is>
      </c>
      <c r="C16" s="9" t="n">
        <v>1743</v>
      </c>
      <c r="D16" s="15" t="n">
        <v>212.5393121693122</v>
      </c>
      <c r="E16" s="15" t="n">
        <v>711.4769291100534</v>
      </c>
      <c r="F16" s="15" t="n">
        <v>10.92179563524569</v>
      </c>
      <c r="G16" s="15" t="n">
        <v>32.00049252115221</v>
      </c>
    </row>
    <row r="17">
      <c r="A17" s="12" t="inlineStr">
        <is>
          <t>Rivertown</t>
        </is>
      </c>
      <c r="B17" s="12" t="inlineStr">
        <is>
          <t>Occasional</t>
        </is>
      </c>
      <c r="C17" s="12" t="n">
        <v>4575</v>
      </c>
      <c r="D17" s="17" t="n">
        <v>212.5393121693122</v>
      </c>
      <c r="E17" s="17" t="n">
        <v>777.4225984152273</v>
      </c>
      <c r="F17" s="17" t="n">
        <v>9.036410259452968</v>
      </c>
      <c r="G17" s="17" t="n">
        <v>31.0839373188208</v>
      </c>
    </row>
    <row r="18">
      <c r="A18" s="9" t="inlineStr">
        <is>
          <t>Northfield</t>
        </is>
      </c>
      <c r="B18" s="9" t="inlineStr">
        <is>
          <t>Churned</t>
        </is>
      </c>
      <c r="C18" s="9" t="n">
        <v>859</v>
      </c>
      <c r="D18" s="15" t="n">
        <v>212.5393121693122</v>
      </c>
      <c r="E18" s="15" t="n">
        <v>512.6859200325349</v>
      </c>
      <c r="F18" s="15" t="n">
        <v>12.26563608015691</v>
      </c>
      <c r="G18" s="15" t="n">
        <v>25.32060718487177</v>
      </c>
    </row>
    <row r="19">
      <c r="A19" s="12" t="inlineStr">
        <is>
          <t>Northfield</t>
        </is>
      </c>
      <c r="B19" s="12" t="inlineStr">
        <is>
          <t>Loyal</t>
        </is>
      </c>
      <c r="C19" s="12" t="n">
        <v>1083</v>
      </c>
      <c r="D19" s="17" t="n">
        <v>212.5393121693122</v>
      </c>
      <c r="E19" s="17" t="n">
        <v>529.6355514712419</v>
      </c>
      <c r="F19" s="17" t="n">
        <v>11.67261012338732</v>
      </c>
      <c r="G19" s="17" t="n">
        <v>25.23498246046626</v>
      </c>
    </row>
    <row r="20">
      <c r="A20" s="9" t="inlineStr">
        <is>
          <t>Bayshore</t>
        </is>
      </c>
      <c r="B20" s="9" t="inlineStr">
        <is>
          <t>Occasional</t>
        </is>
      </c>
      <c r="C20" s="9" t="n">
        <v>2085</v>
      </c>
      <c r="D20" s="15" t="n">
        <v>212.5393121693122</v>
      </c>
      <c r="E20" s="15" t="n">
        <v>483.8083285364244</v>
      </c>
      <c r="F20" s="15" t="n">
        <v>9.347388052368942</v>
      </c>
      <c r="G20" s="15" t="n">
        <v>19.96623359307372</v>
      </c>
    </row>
    <row r="21">
      <c r="A21" s="12" t="inlineStr">
        <is>
          <t>Rivertown</t>
        </is>
      </c>
      <c r="B21" s="12" t="inlineStr">
        <is>
          <t>At Risk</t>
        </is>
      </c>
      <c r="C21" s="12" t="n">
        <v>1287</v>
      </c>
      <c r="D21" s="17" t="n">
        <v>212.5393121693122</v>
      </c>
      <c r="E21" s="17" t="n">
        <v>388.9127433241273</v>
      </c>
      <c r="F21" s="17" t="n">
        <v>9.731699999005381</v>
      </c>
      <c r="G21" s="17" t="n">
        <v>16.66229163743478</v>
      </c>
    </row>
    <row r="22">
      <c r="A22" s="9" t="inlineStr">
        <is>
          <t>Bayshore</t>
        </is>
      </c>
      <c r="B22" s="9" t="inlineStr">
        <is>
          <t>At Risk</t>
        </is>
      </c>
      <c r="C22" s="9" t="n">
        <v>626</v>
      </c>
      <c r="D22" s="15" t="n">
        <v>212.5393121693122</v>
      </c>
      <c r="E22" s="15" t="n">
        <v>269.5839098680478</v>
      </c>
      <c r="F22" s="15" t="n">
        <v>10.1799488467532</v>
      </c>
      <c r="G22" s="15" t="n">
        <v>12.36903609243863</v>
      </c>
    </row>
    <row r="23">
      <c r="A23" s="12" t="inlineStr">
        <is>
          <t>Bayshore</t>
        </is>
      </c>
      <c r="B23" s="12" t="inlineStr">
        <is>
          <t>Churned</t>
        </is>
      </c>
      <c r="C23" s="12" t="n">
        <v>878</v>
      </c>
      <c r="D23" s="17" t="n">
        <v>212.5393121693122</v>
      </c>
      <c r="E23" s="17" t="n">
        <v>283.4598242221873</v>
      </c>
      <c r="F23" s="17" t="n">
        <v>9.561060857297262</v>
      </c>
      <c r="G23" s="17" t="n">
        <v>12.26786165609607</v>
      </c>
    </row>
    <row r="24">
      <c r="A24" s="9" t="inlineStr">
        <is>
          <t>Bayshore</t>
        </is>
      </c>
      <c r="B24" s="9" t="inlineStr">
        <is>
          <t>Loyal</t>
        </is>
      </c>
      <c r="C24" s="9" t="n">
        <v>917</v>
      </c>
      <c r="D24" s="15" t="n">
        <v>212.5393121693122</v>
      </c>
      <c r="E24" s="15" t="n">
        <v>284.7726815744288</v>
      </c>
      <c r="F24" s="15" t="n">
        <v>9.496437113933411</v>
      </c>
      <c r="G24" s="15" t="n">
        <v>12.2508700979293</v>
      </c>
    </row>
    <row r="25">
      <c r="A25" s="12" t="inlineStr">
        <is>
          <t>Northfield</t>
        </is>
      </c>
      <c r="B25" s="12" t="inlineStr">
        <is>
          <t>High Value</t>
        </is>
      </c>
      <c r="C25" s="12" t="n">
        <v>131</v>
      </c>
      <c r="D25" s="17" t="n">
        <v>212.5393121693122</v>
      </c>
      <c r="E25" s="17" t="n">
        <v>116.0429857678818</v>
      </c>
      <c r="F25" s="17" t="n">
        <v>9.259793845492011</v>
      </c>
      <c r="G25" s="17" t="n">
        <v>6.732478729934558</v>
      </c>
    </row>
    <row r="26">
      <c r="A26" s="9" t="inlineStr">
        <is>
          <t>Sunview</t>
        </is>
      </c>
      <c r="B26" s="9" t="inlineStr">
        <is>
          <t>Occasional</t>
        </is>
      </c>
      <c r="C26" s="9" t="n">
        <v>1265</v>
      </c>
      <c r="D26" s="15" t="n">
        <v>212.5393121693122</v>
      </c>
      <c r="E26" s="15" t="n">
        <v>144.3720168178063</v>
      </c>
      <c r="F26" s="15" t="n">
        <v>8.036531279658011</v>
      </c>
      <c r="G26" s="15" t="n">
        <v>5.60548414594234</v>
      </c>
    </row>
    <row r="27">
      <c r="A27" s="12" t="inlineStr">
        <is>
          <t>Metroville</t>
        </is>
      </c>
      <c r="B27" s="12" t="inlineStr">
        <is>
          <t>High Value</t>
        </is>
      </c>
      <c r="C27" s="12" t="n">
        <v>2391</v>
      </c>
      <c r="D27" s="17" t="n">
        <v>212.5393121693122</v>
      </c>
      <c r="E27" s="17" t="n">
        <v>116.3435217731372</v>
      </c>
      <c r="F27" s="17" t="n">
        <v>7.823200469719061</v>
      </c>
      <c r="G27" s="17" t="n">
        <v>4.369585739178029</v>
      </c>
    </row>
    <row r="28">
      <c r="A28" s="9" t="inlineStr">
        <is>
          <t>Rivertown</t>
        </is>
      </c>
      <c r="B28" s="9" t="inlineStr">
        <is>
          <t>Subscription</t>
        </is>
      </c>
      <c r="C28" s="9" t="n">
        <v>818</v>
      </c>
      <c r="D28" s="15" t="n">
        <v>212.5393121693122</v>
      </c>
      <c r="E28" s="15" t="n">
        <v>96.42819415707002</v>
      </c>
      <c r="F28" s="15" t="n">
        <v>7.713572276557209</v>
      </c>
      <c r="G28" s="15" t="n">
        <v>3.759891267276218</v>
      </c>
    </row>
    <row r="29">
      <c r="A29" s="12" t="inlineStr">
        <is>
          <t>Hillcrest</t>
        </is>
      </c>
      <c r="B29" s="12" t="inlineStr">
        <is>
          <t>High Value</t>
        </is>
      </c>
      <c r="C29" s="12" t="n">
        <v>238</v>
      </c>
      <c r="D29" s="17" t="n">
        <v>212.5393121693122</v>
      </c>
      <c r="E29" s="17" t="n">
        <v>81.89474733316342</v>
      </c>
      <c r="F29" s="17" t="n">
        <v>7.256251290972299</v>
      </c>
      <c r="G29" s="17" t="n">
        <v>3.603716774358512</v>
      </c>
    </row>
    <row r="30">
      <c r="A30" s="9" t="inlineStr">
        <is>
          <t>Porthaven</t>
        </is>
      </c>
      <c r="B30" s="9" t="inlineStr">
        <is>
          <t>Price Sensitive</t>
        </is>
      </c>
      <c r="C30" s="9" t="n">
        <v>1</v>
      </c>
      <c r="D30" s="15" t="n">
        <v>212.5393121693122</v>
      </c>
      <c r="E30" s="15" t="n">
        <v>66.94988413280781</v>
      </c>
      <c r="F30" s="15" t="n">
        <v>4.406288986487335</v>
      </c>
      <c r="G30" s="15" t="n">
        <v>3.298376110834934</v>
      </c>
    </row>
    <row r="31">
      <c r="A31" s="12" t="inlineStr">
        <is>
          <t>Bayshore</t>
        </is>
      </c>
      <c r="B31" s="12" t="inlineStr">
        <is>
          <t>High Value</t>
        </is>
      </c>
      <c r="C31" s="12" t="n">
        <v>118</v>
      </c>
      <c r="D31" s="17" t="n">
        <v>212.5393121693122</v>
      </c>
      <c r="E31" s="17" t="n">
        <v>66.94988604076319</v>
      </c>
      <c r="F31" s="17" t="n">
        <v>5.75427738647369</v>
      </c>
      <c r="G31" s="17" t="n">
        <v>2.824526732432431</v>
      </c>
    </row>
    <row r="32">
      <c r="A32" s="9" t="inlineStr">
        <is>
          <t>Northfield</t>
        </is>
      </c>
      <c r="B32" s="9" t="inlineStr">
        <is>
          <t>At Risk</t>
        </is>
      </c>
      <c r="C32" s="9" t="n">
        <v>382</v>
      </c>
      <c r="D32" s="15" t="n">
        <v>212.5393121693122</v>
      </c>
      <c r="E32" s="15" t="n">
        <v>68.19864588352932</v>
      </c>
      <c r="F32" s="15" t="n">
        <v>7.149129111320247</v>
      </c>
      <c r="G32" s="15" t="n">
        <v>2.731256712455111</v>
      </c>
    </row>
    <row r="33">
      <c r="A33" s="12" t="inlineStr">
        <is>
          <t>Sunview</t>
        </is>
      </c>
      <c r="B33" s="12" t="inlineStr">
        <is>
          <t>Loyal</t>
        </is>
      </c>
      <c r="C33" s="12" t="n">
        <v>386</v>
      </c>
      <c r="D33" s="17" t="n">
        <v>212.5393121693122</v>
      </c>
      <c r="E33" s="17" t="n">
        <v>66.94989151821402</v>
      </c>
      <c r="F33" s="17" t="n">
        <v>6.846489647659978</v>
      </c>
      <c r="G33" s="17" t="n">
        <v>2.571188684693155</v>
      </c>
    </row>
    <row r="34">
      <c r="A34" s="9" t="inlineStr">
        <is>
          <t>Sunview</t>
        </is>
      </c>
      <c r="B34" s="9" t="inlineStr">
        <is>
          <t>At Risk</t>
        </is>
      </c>
      <c r="C34" s="9" t="n">
        <v>364</v>
      </c>
      <c r="D34" s="15" t="n">
        <v>212.5393121693122</v>
      </c>
      <c r="E34" s="15" t="n">
        <v>66.94988841213666</v>
      </c>
      <c r="F34" s="15" t="n">
        <v>6.616829219925354</v>
      </c>
      <c r="G34" s="15" t="n">
        <v>2.531761232225356</v>
      </c>
    </row>
    <row r="35">
      <c r="A35" s="12" t="inlineStr">
        <is>
          <t>Rivertown</t>
        </is>
      </c>
      <c r="B35" s="12" t="inlineStr">
        <is>
          <t>Churned</t>
        </is>
      </c>
      <c r="C35" s="12" t="n">
        <v>1454</v>
      </c>
      <c r="D35" s="17" t="n">
        <v>212.5393121693122</v>
      </c>
      <c r="E35" s="17" t="n">
        <v>66.94991575522502</v>
      </c>
      <c r="F35" s="17" t="n">
        <v>7.511072689962126</v>
      </c>
      <c r="G35" s="17" t="n">
        <v>2.486177490895852</v>
      </c>
    </row>
    <row r="36">
      <c r="A36" s="9" t="inlineStr">
        <is>
          <t>Sunview</t>
        </is>
      </c>
      <c r="B36" s="9" t="inlineStr">
        <is>
          <t>High Value</t>
        </is>
      </c>
      <c r="C36" s="9" t="n">
        <v>59</v>
      </c>
      <c r="D36" s="15" t="n">
        <v>212.5393121693122</v>
      </c>
      <c r="E36" s="15" t="n">
        <v>66.94988401318653</v>
      </c>
      <c r="F36" s="15" t="n">
        <v>3.738555588756961</v>
      </c>
      <c r="G36" s="15" t="n">
        <v>2.445017428206165</v>
      </c>
    </row>
    <row r="37">
      <c r="A37" s="12" t="inlineStr">
        <is>
          <t>Lakeside City</t>
        </is>
      </c>
      <c r="B37" s="12" t="inlineStr">
        <is>
          <t>High Value</t>
        </is>
      </c>
      <c r="C37" s="12" t="n">
        <v>201</v>
      </c>
      <c r="D37" s="17" t="n">
        <v>212.5393121693122</v>
      </c>
      <c r="E37" s="17" t="n">
        <v>66.94988505609206</v>
      </c>
      <c r="F37" s="17" t="n">
        <v>5.715228042345897</v>
      </c>
      <c r="G37" s="17" t="n">
        <v>2.411039448605762</v>
      </c>
    </row>
    <row r="38">
      <c r="A38" s="9" t="inlineStr">
        <is>
          <t>Porthaven</t>
        </is>
      </c>
      <c r="B38" s="9" t="inlineStr">
        <is>
          <t>Occasional</t>
        </is>
      </c>
      <c r="C38" s="9" t="n">
        <v>4738</v>
      </c>
      <c r="D38" s="15" t="n">
        <v>212.5393121693122</v>
      </c>
      <c r="E38" s="15" t="n">
        <v>66.949886406028</v>
      </c>
      <c r="F38" s="15" t="n">
        <v>6.906488333970817</v>
      </c>
      <c r="G38" s="15" t="n">
        <v>2.208719680010305</v>
      </c>
    </row>
    <row r="39">
      <c r="A39" s="12" t="inlineStr">
        <is>
          <t>Sunview</t>
        </is>
      </c>
      <c r="B39" s="12" t="inlineStr">
        <is>
          <t>Churned</t>
        </is>
      </c>
      <c r="C39" s="12" t="n">
        <v>569</v>
      </c>
      <c r="D39" s="17" t="n">
        <v>212.5393121693122</v>
      </c>
      <c r="E39" s="17" t="n">
        <v>66.94988509286151</v>
      </c>
      <c r="F39" s="17" t="n">
        <v>5.995040995604261</v>
      </c>
      <c r="G39" s="17" t="n">
        <v>2.124434045813107</v>
      </c>
    </row>
    <row r="40">
      <c r="A40" s="9" t="inlineStr">
        <is>
          <t>Rivertown</t>
        </is>
      </c>
      <c r="B40" s="9" t="inlineStr">
        <is>
          <t>Loyal</t>
        </is>
      </c>
      <c r="C40" s="9" t="n">
        <v>9014</v>
      </c>
      <c r="D40" s="15" t="n">
        <v>212.5393121693122</v>
      </c>
      <c r="E40" s="15" t="n">
        <v>66.94988498674439</v>
      </c>
      <c r="F40" s="15" t="n">
        <v>6.443234075811834</v>
      </c>
      <c r="G40" s="15" t="n">
        <v>2.045924092903896</v>
      </c>
    </row>
    <row r="41">
      <c r="A41" s="12" t="inlineStr">
        <is>
          <t>Northfield</t>
        </is>
      </c>
      <c r="B41" s="12" t="inlineStr">
        <is>
          <t>Subscription</t>
        </is>
      </c>
      <c r="C41" s="12" t="n">
        <v>53</v>
      </c>
      <c r="D41" s="17" t="n">
        <v>212.5393121693122</v>
      </c>
      <c r="E41" s="17" t="n">
        <v>66.94988386707915</v>
      </c>
      <c r="F41" s="17" t="n">
        <v>2.799183085908794</v>
      </c>
      <c r="G41" s="17" t="n">
        <v>1.955270123628245</v>
      </c>
    </row>
    <row r="42">
      <c r="A42" s="9" t="inlineStr">
        <is>
          <t>Porthaven</t>
        </is>
      </c>
      <c r="B42" s="9" t="inlineStr">
        <is>
          <t>Churned</t>
        </is>
      </c>
      <c r="C42" s="9" t="n">
        <v>1545</v>
      </c>
      <c r="D42" s="15" t="n">
        <v>212.5393121693122</v>
      </c>
      <c r="E42" s="15" t="n">
        <v>66.94988477003572</v>
      </c>
      <c r="F42" s="15" t="n">
        <v>5.875959299690073</v>
      </c>
      <c r="G42" s="15" t="n">
        <v>1.940339605897992</v>
      </c>
    </row>
    <row r="43">
      <c r="A43" s="12" t="inlineStr">
        <is>
          <t>Porthaven</t>
        </is>
      </c>
      <c r="B43" s="12" t="inlineStr">
        <is>
          <t>At Risk</t>
        </is>
      </c>
      <c r="C43" s="12" t="n">
        <v>1709</v>
      </c>
      <c r="D43" s="17" t="n">
        <v>212.5393121693122</v>
      </c>
      <c r="E43" s="17" t="n">
        <v>66.9498843857054</v>
      </c>
      <c r="F43" s="17" t="n">
        <v>5.480030728971133</v>
      </c>
      <c r="G43" s="17" t="n">
        <v>1.801024681208521</v>
      </c>
    </row>
    <row r="44">
      <c r="A44" s="9" t="inlineStr">
        <is>
          <t>Sunview</t>
        </is>
      </c>
      <c r="B44" s="9" t="inlineStr">
        <is>
          <t>New</t>
        </is>
      </c>
      <c r="C44" s="9" t="n">
        <v>2</v>
      </c>
      <c r="D44" s="15" t="n">
        <v>212.5393121693122</v>
      </c>
      <c r="E44" s="15" t="n">
        <v>66.94988381459258</v>
      </c>
      <c r="F44" s="15" t="n">
        <v>2.370721479306944</v>
      </c>
      <c r="G44" s="15" t="n">
        <v>1.774629648461961</v>
      </c>
    </row>
    <row r="45">
      <c r="A45" s="12" t="inlineStr">
        <is>
          <t>Porthaven</t>
        </is>
      </c>
      <c r="B45" s="12" t="inlineStr">
        <is>
          <t>New</t>
        </is>
      </c>
      <c r="C45" s="12" t="n">
        <v>42</v>
      </c>
      <c r="D45" s="17" t="n">
        <v>212.5393121693122</v>
      </c>
      <c r="E45" s="17" t="n">
        <v>66.94988378529571</v>
      </c>
      <c r="F45" s="17" t="n">
        <v>2.359717042659577</v>
      </c>
      <c r="G45" s="17" t="n">
        <v>1.766392155959751</v>
      </c>
    </row>
    <row r="46">
      <c r="A46" s="9" t="inlineStr">
        <is>
          <t>Porthaven</t>
        </is>
      </c>
      <c r="B46" s="9" t="inlineStr">
        <is>
          <t>Subscription</t>
        </is>
      </c>
      <c r="C46" s="9" t="n">
        <v>3133</v>
      </c>
      <c r="D46" s="15" t="n">
        <v>212.5393121693122</v>
      </c>
      <c r="E46" s="15" t="n">
        <v>66.94988429071334</v>
      </c>
      <c r="F46" s="15" t="n">
        <v>5.449344315933587</v>
      </c>
      <c r="G46" s="15" t="n">
        <v>1.754937009999648</v>
      </c>
    </row>
    <row r="47">
      <c r="A47" s="12" t="inlineStr">
        <is>
          <t>Bayshore</t>
        </is>
      </c>
      <c r="B47" s="12" t="inlineStr">
        <is>
          <t>Subscription</t>
        </is>
      </c>
      <c r="C47" s="12" t="n">
        <v>52</v>
      </c>
      <c r="D47" s="17" t="n">
        <v>212.5393121693122</v>
      </c>
      <c r="E47" s="17" t="n">
        <v>66.94988384006011</v>
      </c>
      <c r="F47" s="17" t="n">
        <v>2.364816688553192</v>
      </c>
      <c r="G47" s="17" t="n">
        <v>1.630132364219026</v>
      </c>
    </row>
    <row r="48">
      <c r="A48" s="9" t="inlineStr">
        <is>
          <t>Porthaven</t>
        </is>
      </c>
      <c r="B48" s="9" t="inlineStr">
        <is>
          <t>Loyal</t>
        </is>
      </c>
      <c r="C48" s="9" t="n">
        <v>20375</v>
      </c>
      <c r="D48" s="15" t="n">
        <v>212.5393121693122</v>
      </c>
      <c r="E48" s="15" t="n">
        <v>66.94988399024706</v>
      </c>
      <c r="F48" s="15" t="n">
        <v>4.239269626982773</v>
      </c>
      <c r="G48" s="15" t="n">
        <v>1.340112862015399</v>
      </c>
    </row>
    <row r="49">
      <c r="A49" s="12" t="inlineStr">
        <is>
          <t>Sunview</t>
        </is>
      </c>
      <c r="B49" s="12" t="inlineStr">
        <is>
          <t>Price Sensitive</t>
        </is>
      </c>
      <c r="C49" s="12" t="n">
        <v>4</v>
      </c>
      <c r="D49" s="17" t="n">
        <v>212.5393121693122</v>
      </c>
      <c r="E49" s="17" t="n">
        <v>66.94988374168408</v>
      </c>
      <c r="F49" s="17" t="n">
        <v>1.471227362937885</v>
      </c>
      <c r="G49" s="17" t="n">
        <v>1.101303429919996</v>
      </c>
    </row>
    <row r="50">
      <c r="A50" s="9" t="inlineStr">
        <is>
          <t>Northfield</t>
        </is>
      </c>
      <c r="B50" s="9" t="inlineStr">
        <is>
          <t>Price Sensitive</t>
        </is>
      </c>
      <c r="C50" s="9" t="n">
        <v>2</v>
      </c>
      <c r="D50" s="15" t="n">
        <v>212.5393121693122</v>
      </c>
      <c r="E50" s="15" t="n">
        <v>66.94988373418104</v>
      </c>
      <c r="F50" s="15" t="n">
        <v>1.380045767579926</v>
      </c>
      <c r="G50" s="15" t="n">
        <v>1.033048443420978</v>
      </c>
    </row>
    <row r="51">
      <c r="A51" s="12" t="inlineStr">
        <is>
          <t>Northfield</t>
        </is>
      </c>
      <c r="B51" s="12" t="inlineStr">
        <is>
          <t>New</t>
        </is>
      </c>
      <c r="C51" s="12" t="n">
        <v>8</v>
      </c>
      <c r="D51" s="17" t="n">
        <v>212.5393121693122</v>
      </c>
      <c r="E51" s="17" t="n">
        <v>66.94988369348911</v>
      </c>
      <c r="F51" s="17" t="n">
        <v>1.201379128027168</v>
      </c>
      <c r="G51" s="17" t="n">
        <v>0.8993055643252499</v>
      </c>
    </row>
    <row r="52">
      <c r="A52" s="9" t="inlineStr">
        <is>
          <t>Bayshore</t>
        </is>
      </c>
      <c r="B52" s="9" t="inlineStr">
        <is>
          <t>Price Sensitive</t>
        </is>
      </c>
      <c r="C52" s="9" t="n">
        <v>2</v>
      </c>
      <c r="D52" s="15" t="n">
        <v>212.5393121693122</v>
      </c>
      <c r="E52" s="15" t="n">
        <v>66.94988366412312</v>
      </c>
      <c r="F52" s="15" t="n">
        <v>1.03010559080073</v>
      </c>
      <c r="G52" s="15" t="n">
        <v>0.7710968734554481</v>
      </c>
    </row>
    <row r="53">
      <c r="A53" s="12" t="inlineStr">
        <is>
          <t>Hillcrest</t>
        </is>
      </c>
      <c r="B53" s="12" t="inlineStr">
        <is>
          <t>Occasional</t>
        </is>
      </c>
      <c r="C53" s="12" t="n">
        <v>2991</v>
      </c>
      <c r="D53" s="17" t="n">
        <v>212.5393121693122</v>
      </c>
      <c r="E53" s="17" t="n">
        <v>66.94988371376394</v>
      </c>
      <c r="F53" s="17" t="n">
        <v>1.912234618729138</v>
      </c>
      <c r="G53" s="17" t="n">
        <v>0.6173687435184393</v>
      </c>
    </row>
    <row r="54">
      <c r="A54" s="9" t="inlineStr">
        <is>
          <t>Hillcrest</t>
        </is>
      </c>
      <c r="B54" s="9" t="inlineStr">
        <is>
          <t>At Risk</t>
        </is>
      </c>
      <c r="C54" s="9" t="n">
        <v>989</v>
      </c>
      <c r="D54" s="15" t="n">
        <v>212.5393121693122</v>
      </c>
      <c r="E54" s="15" t="n">
        <v>66.94988370365239</v>
      </c>
      <c r="F54" s="15" t="n">
        <v>1.653354927106901</v>
      </c>
      <c r="G54" s="15" t="n">
        <v>0.5602137469361433</v>
      </c>
    </row>
    <row r="55">
      <c r="A55" s="12" t="inlineStr">
        <is>
          <t>Hillcrest</t>
        </is>
      </c>
      <c r="B55" s="12" t="inlineStr">
        <is>
          <t>Loyal</t>
        </is>
      </c>
      <c r="C55" s="12" t="n">
        <v>4800</v>
      </c>
      <c r="D55" s="17" t="n">
        <v>212.5393121693122</v>
      </c>
      <c r="E55" s="17" t="n">
        <v>66.94988369631807</v>
      </c>
      <c r="F55" s="17" t="n">
        <v>1.141088987682063</v>
      </c>
      <c r="G55" s="17" t="n">
        <v>0.3649661889227266</v>
      </c>
    </row>
    <row r="56">
      <c r="A56" s="9" t="inlineStr">
        <is>
          <t>Hillcrest</t>
        </is>
      </c>
      <c r="B56" s="9" t="inlineStr">
        <is>
          <t>Churned</t>
        </is>
      </c>
      <c r="C56" s="9" t="n">
        <v>1060</v>
      </c>
      <c r="D56" s="15" t="n">
        <v>212.5393121693122</v>
      </c>
      <c r="E56" s="15" t="n">
        <v>66.94988369919331</v>
      </c>
      <c r="F56" s="15" t="n">
        <v>0.8277402960627998</v>
      </c>
      <c r="G56" s="15" t="n">
        <v>0.2789659454693999</v>
      </c>
    </row>
    <row r="57">
      <c r="A57" s="12" t="inlineStr">
        <is>
          <t>Rivertown</t>
        </is>
      </c>
      <c r="B57" s="12" t="inlineStr">
        <is>
          <t>New</t>
        </is>
      </c>
      <c r="C57" s="12" t="n">
        <v>19</v>
      </c>
      <c r="D57" s="17" t="n">
        <v>212.5393121693122</v>
      </c>
      <c r="E57" s="17" t="n">
        <v>66.94988364045928</v>
      </c>
      <c r="F57" s="17" t="n">
        <v>0.3381917766618681</v>
      </c>
      <c r="G57" s="17" t="n">
        <v>0.2531571752423541</v>
      </c>
    </row>
    <row r="58">
      <c r="A58" s="9" t="inlineStr">
        <is>
          <t>Lakeside City</t>
        </is>
      </c>
      <c r="B58" s="9" t="inlineStr">
        <is>
          <t>Subscription</t>
        </is>
      </c>
      <c r="C58" s="9" t="n">
        <v>945</v>
      </c>
      <c r="D58" s="15" t="n">
        <v>212.5393121693122</v>
      </c>
      <c r="E58" s="15" t="n">
        <v>66.9498836766018</v>
      </c>
      <c r="F58" s="15" t="n">
        <v>0.6298357253598615</v>
      </c>
      <c r="G58" s="15" t="n">
        <v>0.2147609441949068</v>
      </c>
    </row>
    <row r="59">
      <c r="A59" s="12" t="inlineStr">
        <is>
          <t>Hillcrest</t>
        </is>
      </c>
      <c r="B59" s="12" t="inlineStr">
        <is>
          <t>Subscription</t>
        </is>
      </c>
      <c r="C59" s="12" t="n">
        <v>265</v>
      </c>
      <c r="D59" s="17" t="n">
        <v>212.5393121693122</v>
      </c>
      <c r="E59" s="17" t="n">
        <v>66.94988367847331</v>
      </c>
      <c r="F59" s="17" t="n">
        <v>0.4992850031690073</v>
      </c>
      <c r="G59" s="17" t="n">
        <v>0.2061137309739173</v>
      </c>
    </row>
    <row r="60">
      <c r="A60" s="9" t="inlineStr">
        <is>
          <t>Metroville</t>
        </is>
      </c>
      <c r="B60" s="9" t="inlineStr">
        <is>
          <t>New</t>
        </is>
      </c>
      <c r="C60" s="9" t="n">
        <v>36</v>
      </c>
      <c r="D60" s="15" t="n">
        <v>212.5393121693122</v>
      </c>
      <c r="E60" s="15" t="n">
        <v>66.94988362431771</v>
      </c>
      <c r="F60" s="15" t="n">
        <v>0.2740344384405599</v>
      </c>
      <c r="G60" s="15" t="n">
        <v>0.2051314938273708</v>
      </c>
    </row>
    <row r="61">
      <c r="A61" s="12" t="inlineStr">
        <is>
          <t>Metroville</t>
        </is>
      </c>
      <c r="B61" s="12" t="inlineStr">
        <is>
          <t>Loyal</t>
        </is>
      </c>
      <c r="C61" s="12" t="n">
        <v>39769</v>
      </c>
      <c r="D61" s="17" t="n">
        <v>212.5393121693122</v>
      </c>
      <c r="E61" s="17" t="n">
        <v>66.94988365637434</v>
      </c>
      <c r="F61" s="17" t="n">
        <v>0.6375125020454183</v>
      </c>
      <c r="G61" s="17" t="n">
        <v>0.2011846282915573</v>
      </c>
    </row>
    <row r="62">
      <c r="A62" s="9" t="inlineStr">
        <is>
          <t>Lakeside City</t>
        </is>
      </c>
      <c r="B62" s="9" t="inlineStr">
        <is>
          <t>Occasional</t>
        </is>
      </c>
      <c r="C62" s="9" t="n">
        <v>3797</v>
      </c>
      <c r="D62" s="15" t="n">
        <v>212.5393121693122</v>
      </c>
      <c r="E62" s="15" t="n">
        <v>66.94988367930976</v>
      </c>
      <c r="F62" s="15" t="n">
        <v>0.6170582308235473</v>
      </c>
      <c r="G62" s="15" t="n">
        <v>0.1981026083461602</v>
      </c>
    </row>
    <row r="63">
      <c r="A63" s="12" t="inlineStr">
        <is>
          <t>Lakeside City</t>
        </is>
      </c>
      <c r="B63" s="12" t="inlineStr">
        <is>
          <t>Churned</t>
        </is>
      </c>
      <c r="C63" s="12" t="n">
        <v>1178</v>
      </c>
      <c r="D63" s="17" t="n">
        <v>212.5393121693122</v>
      </c>
      <c r="E63" s="17" t="n">
        <v>66.94988367884261</v>
      </c>
      <c r="F63" s="17" t="n">
        <v>0.5908480434146401</v>
      </c>
      <c r="G63" s="17" t="n">
        <v>0.197821767257775</v>
      </c>
    </row>
    <row r="64">
      <c r="A64" s="9" t="inlineStr">
        <is>
          <t>Lakeside City</t>
        </is>
      </c>
      <c r="B64" s="9" t="inlineStr">
        <is>
          <t>At Risk</t>
        </is>
      </c>
      <c r="C64" s="9" t="n">
        <v>1286</v>
      </c>
      <c r="D64" s="15" t="n">
        <v>212.5393121693122</v>
      </c>
      <c r="E64" s="15" t="n">
        <v>66.94988364716556</v>
      </c>
      <c r="F64" s="15" t="n">
        <v>0.5908166250095434</v>
      </c>
      <c r="G64" s="15" t="n">
        <v>0.196775151544195</v>
      </c>
    </row>
    <row r="65">
      <c r="A65" s="12" t="inlineStr">
        <is>
          <t>Metroville</t>
        </is>
      </c>
      <c r="B65" s="12" t="inlineStr">
        <is>
          <t>Occasional</t>
        </is>
      </c>
      <c r="C65" s="12" t="n">
        <v>5645</v>
      </c>
      <c r="D65" s="17" t="n">
        <v>212.5393121693122</v>
      </c>
      <c r="E65" s="17" t="n">
        <v>66.94988363785495</v>
      </c>
      <c r="F65" s="17" t="n">
        <v>0.6157059570192727</v>
      </c>
      <c r="G65" s="17" t="n">
        <v>0.1964326058197879</v>
      </c>
    </row>
    <row r="66">
      <c r="A66" s="9" t="inlineStr">
        <is>
          <t>Metroville</t>
        </is>
      </c>
      <c r="B66" s="9" t="inlineStr">
        <is>
          <t>Churned</t>
        </is>
      </c>
      <c r="C66" s="9" t="n">
        <v>1756</v>
      </c>
      <c r="D66" s="15" t="n">
        <v>212.5393121693122</v>
      </c>
      <c r="E66" s="15" t="n">
        <v>66.94988364428679</v>
      </c>
      <c r="F66" s="15" t="n">
        <v>0.5932435369546702</v>
      </c>
      <c r="G66" s="15" t="n">
        <v>0.1946222001729243</v>
      </c>
    </row>
    <row r="67">
      <c r="A67" s="12" t="inlineStr">
        <is>
          <t>Metroville</t>
        </is>
      </c>
      <c r="B67" s="12" t="inlineStr">
        <is>
          <t>Subscription</t>
        </is>
      </c>
      <c r="C67" s="12" t="n">
        <v>5635</v>
      </c>
      <c r="D67" s="17" t="n">
        <v>212.5393121693122</v>
      </c>
      <c r="E67" s="17" t="n">
        <v>66.94988363758738</v>
      </c>
      <c r="F67" s="17" t="n">
        <v>0.5989801321112652</v>
      </c>
      <c r="G67" s="17" t="n">
        <v>0.1910655022943999</v>
      </c>
    </row>
    <row r="68">
      <c r="A68" s="9" t="inlineStr">
        <is>
          <t>Lakeside City</t>
        </is>
      </c>
      <c r="B68" s="9" t="inlineStr">
        <is>
          <t>Loyal</t>
        </is>
      </c>
      <c r="C68" s="9" t="n">
        <v>8927</v>
      </c>
      <c r="D68" s="15" t="n">
        <v>212.5393121693122</v>
      </c>
      <c r="E68" s="15" t="n">
        <v>66.94988367992973</v>
      </c>
      <c r="F68" s="15" t="n">
        <v>0.6006459278724312</v>
      </c>
      <c r="G68" s="15" t="n">
        <v>0.190709825053329</v>
      </c>
    </row>
    <row r="69">
      <c r="A69" s="12" t="inlineStr">
        <is>
          <t>Metroville</t>
        </is>
      </c>
      <c r="B69" s="12" t="inlineStr">
        <is>
          <t>At Risk</t>
        </is>
      </c>
      <c r="C69" s="12" t="n">
        <v>2053</v>
      </c>
      <c r="D69" s="17" t="n">
        <v>212.5393121693122</v>
      </c>
      <c r="E69" s="17" t="n">
        <v>66.94988365549341</v>
      </c>
      <c r="F69" s="17" t="n">
        <v>0.5721885677376189</v>
      </c>
      <c r="G69" s="17" t="n">
        <v>0.1864736005579008</v>
      </c>
    </row>
    <row r="70">
      <c r="A70" s="9" t="inlineStr">
        <is>
          <t>Metroville</t>
        </is>
      </c>
      <c r="B70" s="9" t="inlineStr">
        <is>
          <t>Price Sensitive</t>
        </is>
      </c>
      <c r="C70" s="9" t="n">
        <v>5</v>
      </c>
      <c r="D70" s="15" t="n">
        <v>212.5393121693122</v>
      </c>
      <c r="E70" s="15" t="n">
        <v>66.94988363560171</v>
      </c>
      <c r="F70" s="15" t="n">
        <v>0.1025176855916516</v>
      </c>
      <c r="G70" s="15" t="n">
        <v>0.0767407414575286</v>
      </c>
    </row>
    <row r="71">
      <c r="A71" s="12" t="inlineStr">
        <is>
          <t>Lakeside City</t>
        </is>
      </c>
      <c r="B71" s="12" t="inlineStr">
        <is>
          <t>New</t>
        </is>
      </c>
      <c r="C71" s="12" t="n">
        <v>20</v>
      </c>
      <c r="D71" s="17" t="n">
        <v>212.5393121693122</v>
      </c>
      <c r="E71" s="17" t="n">
        <v>66.94988364938587</v>
      </c>
      <c r="F71" s="17" t="n">
        <v>0.0616800567355128</v>
      </c>
      <c r="G71" s="17" t="n">
        <v>0.04617128508288</v>
      </c>
    </row>
    <row r="72">
      <c r="A72" s="9" t="inlineStr">
        <is>
          <t>Bayshore</t>
        </is>
      </c>
      <c r="B72" s="9" t="inlineStr">
        <is>
          <t>New</t>
        </is>
      </c>
      <c r="C72" s="9" t="n">
        <v>1</v>
      </c>
      <c r="D72" s="15" t="n">
        <v>212.5393121693122</v>
      </c>
      <c r="E72" s="15" t="n">
        <v>66.94988364926567</v>
      </c>
      <c r="F72" s="15" t="n">
        <v>0.0492873488421402</v>
      </c>
      <c r="G72" s="15" t="n">
        <v>0.0368945872427779</v>
      </c>
    </row>
    <row r="73">
      <c r="A73" s="12" t="inlineStr">
        <is>
          <t>Rivertown</t>
        </is>
      </c>
      <c r="B73" s="12" t="inlineStr">
        <is>
          <t>Price Sensitive</t>
        </is>
      </c>
      <c r="C73" s="12" t="n">
        <v>1</v>
      </c>
      <c r="D73" s="17" t="n">
        <v>212.5393121693122</v>
      </c>
      <c r="E73" s="17" t="n">
        <v>66.94988364896959</v>
      </c>
      <c r="F73" s="17" t="n">
        <v>0.0492873488421402</v>
      </c>
      <c r="G73" s="17" t="n">
        <v>0.0368945872427003</v>
      </c>
    </row>
    <row r="74">
      <c r="A74" s="9" t="inlineStr">
        <is>
          <t>Hillcrest</t>
        </is>
      </c>
      <c r="B74" s="9" t="inlineStr">
        <is>
          <t>New</t>
        </is>
      </c>
      <c r="C74" s="9" t="n">
        <v>3</v>
      </c>
      <c r="D74" s="15" t="n">
        <v>212.5393121693122</v>
      </c>
      <c r="E74" s="15" t="n">
        <v>66.94988364516823</v>
      </c>
      <c r="F74" s="15" t="n">
        <v>0.0492873488421402</v>
      </c>
      <c r="G74" s="15" t="n">
        <v>0.0368945872417039</v>
      </c>
    </row>
    <row r="75">
      <c r="A75" s="12" t="inlineStr">
        <is>
          <t>Lakeside City</t>
        </is>
      </c>
      <c r="B75" s="12" t="inlineStr">
        <is>
          <t>Price Sensitive</t>
        </is>
      </c>
      <c r="C75" s="12" t="n">
        <v>3</v>
      </c>
      <c r="D75" s="17" t="n">
        <v>212.5393121693122</v>
      </c>
      <c r="E75" s="17" t="n">
        <v>66.94988362507343</v>
      </c>
      <c r="F75" s="17" t="n">
        <v>0.0492873488421402</v>
      </c>
      <c r="G75" s="17" t="n">
        <v>0.0368945872364369</v>
      </c>
    </row>
    <row r="76">
      <c r="A76" s="9" t="inlineStr">
        <is>
          <t>Hillcrest</t>
        </is>
      </c>
      <c r="B76" s="9" t="inlineStr">
        <is>
          <t>Price Sensitive</t>
        </is>
      </c>
      <c r="C76" s="9" t="n">
        <v>1</v>
      </c>
      <c r="D76" s="15" t="n">
        <v>212.5393121693122</v>
      </c>
      <c r="E76" s="15" t="n">
        <v>66.94988361816449</v>
      </c>
      <c r="F76" s="15" t="n">
        <v>0.0492873488421402</v>
      </c>
      <c r="G76" s="15" t="n">
        <v>0.036894587234626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34" customWidth="1" min="3" max="3"/>
  </cols>
  <sheetData>
    <row r="1" ht="28" customHeight="1">
      <c r="A1" s="1" t="inlineStr">
        <is>
          <t>Data Dictionary</t>
        </is>
      </c>
    </row>
    <row r="2" ht="16" customHeight="1">
      <c r="A2" s="2" t="inlineStr">
        <is>
          <t>Core tables and fields in the underlying dataset</t>
        </is>
      </c>
    </row>
    <row r="4">
      <c r="A4" s="8" t="inlineStr">
        <is>
          <t>Table</t>
        </is>
      </c>
      <c r="B4" s="8" t="inlineStr">
        <is>
          <t>Field</t>
        </is>
      </c>
      <c r="C4" s="8" t="inlineStr">
        <is>
          <t>Definition</t>
        </is>
      </c>
    </row>
    <row r="5">
      <c r="A5" s="9" t="inlineStr">
        <is>
          <t>orders.csv</t>
        </is>
      </c>
      <c r="B5" s="9" t="inlineStr">
        <is>
          <t>order_id</t>
        </is>
      </c>
      <c r="C5" s="9" t="inlineStr">
        <is>
          <t>Unique order identifier</t>
        </is>
      </c>
    </row>
    <row r="6">
      <c r="A6" s="12" t="inlineStr">
        <is>
          <t>orders.csv</t>
        </is>
      </c>
      <c r="B6" s="12" t="inlineStr">
        <is>
          <t>customer_total_paid</t>
        </is>
      </c>
      <c r="C6" s="12" t="inlineStr">
        <is>
          <t>food_value + delivery_fee + service_fee - discount_amount</t>
        </is>
      </c>
    </row>
    <row r="7">
      <c r="A7" s="9" t="inlineStr">
        <is>
          <t>orders.csv</t>
        </is>
      </c>
      <c r="B7" s="9" t="inlineStr">
        <is>
          <t>platform_revenue</t>
        </is>
      </c>
      <c r="C7" s="9" t="inlineStr">
        <is>
          <t>restaurant_commission + service_fee + 35% of delivery_fee, less refund offset</t>
        </is>
      </c>
    </row>
    <row r="8">
      <c r="A8" s="12" t="inlineStr">
        <is>
          <t>orders.csv</t>
        </is>
      </c>
      <c r="B8" s="12" t="inlineStr">
        <is>
          <t>contribution_profit</t>
        </is>
      </c>
      <c r="C8" s="12" t="inlineStr">
        <is>
          <t>platform_revenue - rider_cost - payment_processing_cost - 50% of refund_amount</t>
        </is>
      </c>
    </row>
    <row r="9">
      <c r="A9" s="9" t="inlineStr">
        <is>
          <t>orders.csv</t>
        </is>
      </c>
      <c r="B9" s="9" t="inlineStr">
        <is>
          <t>order_status</t>
        </is>
      </c>
      <c r="C9" s="9" t="inlineStr">
        <is>
          <t>Delivered / Cancelled / Refunded</t>
        </is>
      </c>
    </row>
    <row r="10">
      <c r="A10" s="12" t="inlineStr">
        <is>
          <t>customers.csv</t>
        </is>
      </c>
      <c r="B10" s="12" t="inlineStr">
        <is>
          <t>customer_segment</t>
        </is>
      </c>
      <c r="C10" s="12" t="inlineStr">
        <is>
          <t>Rule-based on recency/frequency/monetary + subscription status (see docs/data_dictionary.md)</t>
        </is>
      </c>
    </row>
    <row r="11">
      <c r="A11" s="9" t="inlineStr">
        <is>
          <t>restaurants.csv</t>
        </is>
      </c>
      <c r="B11" s="9" t="inlineStr">
        <is>
          <t>commission_rate</t>
        </is>
      </c>
      <c r="C11" s="9" t="inlineStr">
        <is>
          <t>Platform take rate on food_value, by restaurant tier</t>
        </is>
      </c>
    </row>
    <row r="12">
      <c r="A12" s="12" t="inlineStr">
        <is>
          <t>riders.csv</t>
        </is>
      </c>
      <c r="B12" s="12" t="inlineStr">
        <is>
          <t>reliability</t>
        </is>
      </c>
      <c r="C12" s="12" t="inlineStr">
        <is>
          <t>Latent on-time propensity used to simulate delivery delay</t>
        </is>
      </c>
    </row>
    <row r="13">
      <c r="A13" s="9" t="inlineStr">
        <is>
          <t>monthly_financials.csv</t>
        </is>
      </c>
      <c r="B13" s="9" t="inlineStr">
        <is>
          <t>contribution_margin_pct</t>
        </is>
      </c>
      <c r="C13" s="9" t="inlineStr">
        <is>
          <t>contribution_profit / platform_revenue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28" customHeight="1">
      <c r="A1" s="1" t="inlineStr">
        <is>
          <t>KPI Definitions</t>
        </is>
      </c>
    </row>
    <row r="4">
      <c r="A4" s="8" t="inlineStr">
        <is>
          <t>Kpi</t>
        </is>
      </c>
      <c r="B4" s="8" t="inlineStr">
        <is>
          <t>Definition</t>
        </is>
      </c>
    </row>
    <row r="5">
      <c r="A5" s="9" t="inlineStr">
        <is>
          <t>GMV</t>
        </is>
      </c>
      <c r="B5" s="9" t="inlineStr">
        <is>
          <t>Sum of food_value + delivery_fee + service_fee across delivered/refunded orders</t>
        </is>
      </c>
    </row>
    <row r="6">
      <c r="A6" s="12" t="inlineStr">
        <is>
          <t>Take Rate</t>
        </is>
      </c>
      <c r="B6" s="12" t="inlineStr">
        <is>
          <t>platform_revenue / GMV</t>
        </is>
      </c>
    </row>
    <row r="7">
      <c r="A7" s="9" t="inlineStr">
        <is>
          <t>Contribution Margin %</t>
        </is>
      </c>
      <c r="B7" s="9" t="inlineStr">
        <is>
          <t>contribution_profit / platform_revenue</t>
        </is>
      </c>
    </row>
    <row r="8">
      <c r="A8" s="12" t="inlineStr">
        <is>
          <t>AOV</t>
        </is>
      </c>
      <c r="B8" s="12" t="inlineStr">
        <is>
          <t>GMV / delivered orders</t>
        </is>
      </c>
    </row>
    <row r="9">
      <c r="A9" s="9" t="inlineStr">
        <is>
          <t>LTV</t>
        </is>
      </c>
      <c r="B9" s="9" t="inlineStr">
        <is>
          <t>Average customer lifetime contribution profit, by acquisition channel</t>
        </is>
      </c>
    </row>
    <row r="10">
      <c r="A10" s="12" t="inlineStr">
        <is>
          <t>LTV:CAC</t>
        </is>
      </c>
      <c r="B10" s="12" t="inlineStr">
        <is>
          <t>LTV divided by assumed channel CAC</t>
        </is>
      </c>
    </row>
    <row r="11">
      <c r="A11" s="9" t="inlineStr">
        <is>
          <t>On-Time Rate</t>
        </is>
      </c>
      <c r="B11" s="9" t="inlineStr">
        <is>
          <t>Share of delivered orders with delivery_delay_minutes &lt;= 5</t>
        </is>
      </c>
    </row>
    <row r="12">
      <c r="A12" s="12" t="inlineStr">
        <is>
          <t>WAPE</t>
        </is>
      </c>
      <c r="B12" s="12" t="inlineStr">
        <is>
          <t>Weighted Absolute Percentage Error — sum(|error|) / sum(|actual|), used for forecast model selection</t>
        </is>
      </c>
    </row>
    <row r="13">
      <c r="A13" s="9" t="inlineStr">
        <is>
          <t>GMV growth (YoY)</t>
        </is>
      </c>
      <c r="B13" s="9" t="inlineStr">
        <is>
          <t>GMV compared with the same month one year earlier.</t>
        </is>
      </c>
    </row>
    <row r="14">
      <c r="A14" s="12" t="inlineStr">
        <is>
          <t>Delivered orders</t>
        </is>
      </c>
      <c r="B14" s="12" t="inlineStr">
        <is>
          <t>Orders with status Delivered or Refunded.</t>
        </is>
      </c>
    </row>
    <row r="15">
      <c r="A15" s="9" t="inlineStr">
        <is>
          <t>Active customers</t>
        </is>
      </c>
      <c r="B15" s="9" t="inlineStr">
        <is>
          <t>Distinct customers with at least one delivered order in the month.</t>
        </is>
      </c>
    </row>
    <row r="16">
      <c r="A16" s="12" t="inlineStr">
        <is>
          <t>Orders per active customer</t>
        </is>
      </c>
      <c r="B16" s="12" t="inlineStr">
        <is>
          <t>Delivered orders divided by active customers — order frequency.</t>
        </is>
      </c>
    </row>
    <row r="17">
      <c r="A17" s="9" t="inlineStr">
        <is>
          <t>Platform revenue</t>
        </is>
      </c>
      <c r="B17" s="9" t="inlineStr">
        <is>
          <t>Commission + service fee + 35% of delivery fee, less the refund offset.</t>
        </is>
      </c>
    </row>
    <row r="18">
      <c r="A18" s="12" t="inlineStr">
        <is>
          <t>Take rate</t>
        </is>
      </c>
      <c r="B18" s="12" t="inlineStr">
        <is>
          <t>Platform revenue as a share of GMV.</t>
        </is>
      </c>
    </row>
    <row r="19">
      <c r="A19" s="9" t="inlineStr">
        <is>
          <t>Contribution profit</t>
        </is>
      </c>
      <c r="B19" s="9" t="inlineStr">
        <is>
          <t>Platform revenue − rider cost − payment processing − 50% of refunds. Headline definition: before promotions.</t>
        </is>
      </c>
    </row>
    <row r="20">
      <c r="A20" s="12" t="inlineStr">
        <is>
          <t>Contribution margin</t>
        </is>
      </c>
      <c r="B20" s="12" t="inlineStr">
        <is>
          <t>Contribution profit as a share of platform revenue (before promotions).</t>
        </is>
      </c>
    </row>
    <row r="21">
      <c r="A21" s="9" t="inlineStr">
        <is>
          <t>Contribution / order</t>
        </is>
      </c>
      <c r="B21" s="9" t="inlineStr">
        <is>
          <t>Contribution profit divided by delivered orders.</t>
        </is>
      </c>
    </row>
    <row r="22">
      <c r="A22" s="12" t="inlineStr">
        <is>
          <t>Avg. order value (AOV)</t>
        </is>
      </c>
      <c r="B22" s="12" t="inlineStr">
        <is>
          <t>GMV divided by delivered orders.</t>
        </is>
      </c>
    </row>
    <row r="23">
      <c r="A23" s="9" t="inlineStr">
        <is>
          <t>Revenue / order</t>
        </is>
      </c>
      <c r="B23" s="9" t="inlineStr">
        <is>
          <t>Platform revenue divided by delivered orders.</t>
        </is>
      </c>
    </row>
    <row r="24">
      <c r="A24" s="12" t="inlineStr">
        <is>
          <t>Cost to serve / order</t>
        </is>
      </c>
      <c r="B24" s="12" t="inlineStr">
        <is>
          <t>Platform revenue − contribution profit, per delivered order (rider + payment + refund cost).</t>
        </is>
      </c>
    </row>
    <row r="25">
      <c r="A25" s="9" t="inlineStr">
        <is>
          <t>Delivery-fee coverage</t>
        </is>
      </c>
      <c r="B25" s="9" t="inlineStr">
        <is>
          <t>Delivery fees collected as a share of rider cost — how much of delivery the customer pays for.</t>
        </is>
      </c>
    </row>
    <row r="26">
      <c r="A26" s="12" t="inlineStr">
        <is>
          <t>Promotion burden</t>
        </is>
      </c>
      <c r="B26" s="12" t="inlineStr">
        <is>
          <t>Promotion cost (discounts funded by the platform) as a share of platform revenue.</t>
        </is>
      </c>
    </row>
    <row r="27">
      <c r="A27" s="9" t="inlineStr">
        <is>
          <t>New customers / month</t>
        </is>
      </c>
      <c r="B27" s="9" t="inlineStr">
        <is>
          <t>Customers who signed up in the month and ordered in it; average of the last 3 months.</t>
        </is>
      </c>
    </row>
    <row r="28">
      <c r="A28" s="12" t="inlineStr">
        <is>
          <t>New-customer share</t>
        </is>
      </c>
      <c r="B28" s="12" t="inlineStr">
        <is>
          <t>New customers as a share of active customers; last 3 months pooled.</t>
        </is>
      </c>
    </row>
    <row r="29">
      <c r="A29" s="9" t="inlineStr">
        <is>
          <t>Month-1 retention</t>
        </is>
      </c>
      <c r="B29" s="9" t="inlineStr">
        <is>
          <t>Of customers who signed up in the previous month, the share who ordered this month.</t>
        </is>
      </c>
    </row>
    <row r="30">
      <c r="A30" s="12" t="inlineStr">
        <is>
          <t>Subscriber order share</t>
        </is>
      </c>
      <c r="B30" s="12" t="inlineStr">
        <is>
          <t>Share of delivered orders placed by subscribed customers.</t>
        </is>
      </c>
    </row>
    <row r="31">
      <c r="A31" s="9" t="inlineStr">
        <is>
          <t>On-time rate</t>
        </is>
      </c>
      <c r="B31" s="9" t="inlineStr">
        <is>
          <t>Delivered orders arriving within 5 minutes of the estimate.</t>
        </is>
      </c>
    </row>
    <row r="32">
      <c r="A32" s="12" t="inlineStr">
        <is>
          <t>Avg. delivery time</t>
        </is>
      </c>
      <c r="B32" s="12" t="inlineStr">
        <is>
          <t>Average actual delivery time of delivered orders.</t>
        </is>
      </c>
    </row>
    <row r="33">
      <c r="A33" s="9" t="inlineStr">
        <is>
          <t>Very-late rate (&gt;15 min)</t>
        </is>
      </c>
      <c r="B33" s="9" t="inlineStr">
        <is>
          <t>Delivered orders arriving more than 15 minutes late.</t>
        </is>
      </c>
    </row>
    <row r="34">
      <c r="A34" s="12" t="inlineStr">
        <is>
          <t>Cancellation rate</t>
        </is>
      </c>
      <c r="B34" s="12" t="inlineStr">
        <is>
          <t>Cancelled orders as a share of all orders placed.</t>
        </is>
      </c>
    </row>
    <row r="35">
      <c r="A35" s="9" t="inlineStr">
        <is>
          <t>Refund rate</t>
        </is>
      </c>
      <c r="B35" s="9" t="inlineStr">
        <is>
          <t>Refunded orders as a share of delivered orders.</t>
        </is>
      </c>
    </row>
    <row r="36">
      <c r="A36" s="12" t="inlineStr">
        <is>
          <t>Avg. rating</t>
        </is>
      </c>
      <c r="B36" s="12" t="inlineStr">
        <is>
          <t>Average customer rating (1–5) of delivered orders.</t>
        </is>
      </c>
    </row>
    <row r="37">
      <c r="A37" s="9" t="inlineStr">
        <is>
          <t>Active restaurants</t>
        </is>
      </c>
      <c r="B37" s="9" t="inlineStr">
        <is>
          <t>Restaurants with at least one delivered order in the month.</t>
        </is>
      </c>
    </row>
    <row r="38">
      <c r="A38" s="12" t="inlineStr">
        <is>
          <t>Orders / restaurant</t>
        </is>
      </c>
      <c r="B38" s="12" t="inlineStr">
        <is>
          <t>Delivered orders divided by active restaurants.</t>
        </is>
      </c>
    </row>
    <row r="39">
      <c r="A39" s="9" t="inlineStr">
        <is>
          <t>Active riders</t>
        </is>
      </c>
      <c r="B39" s="9" t="inlineStr">
        <is>
          <t>Riders who completed at least one order in the month.</t>
        </is>
      </c>
    </row>
    <row r="40">
      <c r="A40" s="12" t="inlineStr">
        <is>
          <t>Rider utilization</t>
        </is>
      </c>
      <c r="B40" s="12" t="inlineStr">
        <is>
          <t>Busy hours as a share of online hours across all riders.</t>
        </is>
      </c>
    </row>
    <row r="41">
      <c r="A41" s="9" t="inlineStr">
        <is>
          <t>Orders / rider-hour</t>
        </is>
      </c>
      <c r="B41" s="9" t="inlineStr">
        <is>
          <t>Delivered orders divided by rider online hours.</t>
        </is>
      </c>
    </row>
    <row r="42">
      <c r="A42" s="12" t="inlineStr">
        <is>
          <t>Marketing spend / month</t>
        </is>
      </c>
      <c r="B42" s="12" t="inlineStr">
        <is>
          <t>Observed acquisition spend across channels; monthly average of the last 3 months.</t>
        </is>
      </c>
    </row>
    <row r="43">
      <c r="A43" s="9" t="inlineStr">
        <is>
          <t>Blended CAC</t>
        </is>
      </c>
      <c r="B43" s="9" t="inlineStr">
        <is>
          <t>Marketing spend divided by sign-ups; last 3 months pooled.</t>
        </is>
      </c>
    </row>
    <row r="44">
      <c r="A44" s="12" t="inlineStr">
        <is>
          <t>Marketing % of revenue</t>
        </is>
      </c>
      <c r="B44" s="12" t="inlineStr">
        <is>
          <t>Marketing spend as a share of platform revenue; last 3 months pooled.</t>
        </is>
      </c>
    </row>
    <row r="45">
      <c r="A45" s="9" t="inlineStr">
        <is>
          <t>Discount rate (of GMV)</t>
        </is>
      </c>
      <c r="B45" s="9" t="inlineStr">
        <is>
          <t>Discount amount as a share of GMV.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2026-10-11T20:09:28Z</dcterms:created>
  <dcterms:modified xmlns:dcterms="http://purl.org/dc/terms/" xmlns:xsi="http://www.w3.org/2001/XMLSchema-instance" xsi:type="dcterms:W3CDTF">2026-10-11T20:09:28Z</dcterms:modified>
</cp:coreProperties>
</file>